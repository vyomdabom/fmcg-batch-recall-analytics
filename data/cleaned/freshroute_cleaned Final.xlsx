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vyompatel/Desktop/Second Brain 2/fmcg-batch-recall-analytics/data/cleaned/"/>
    </mc:Choice>
  </mc:AlternateContent>
  <xr:revisionPtr revIDLastSave="0" documentId="13_ncr:1_{B35B9D36-ABBF-6044-B38A-E219473E5125}" xr6:coauthVersionLast="47" xr6:coauthVersionMax="47" xr10:uidLastSave="{00000000-0000-0000-0000-000000000000}"/>
  <bookViews>
    <workbookView xWindow="0" yWindow="-28200" windowWidth="51200" windowHeight="28200" activeTab="5" xr2:uid="{00000000-000D-0000-FFFF-FFFF00000000}"/>
  </bookViews>
  <sheets>
    <sheet name="Products" sheetId="1" r:id="rId1"/>
    <sheet name="Suppliers" sheetId="2" r:id="rId2"/>
    <sheet name="Batches" sheetId="3" r:id="rId3"/>
    <sheet name="Customers" sheetId="4" r:id="rId4"/>
    <sheet name="Orders" sheetId="5" r:id="rId5"/>
    <sheet name="Complaints" sheetId="6" r:id="rId6"/>
    <sheet name="Supplier_Documents" sheetId="7" r:id="rId7"/>
    <sheet name="Recall_Risk" sheetId="8" r:id="rId8"/>
    <sheet name="Data_Quality_Log" sheetId="9" r:id="rId9"/>
  </sheets>
  <definedNames>
    <definedName name="_xlnm._FilterDatabase" localSheetId="2" hidden="1">Batches!$A$1:$K$300</definedName>
    <definedName name="_xlnm._FilterDatabase" localSheetId="3" hidden="1">Customers!$A$1:$F$72</definedName>
    <definedName name="_xlnm._FilterDatabase" localSheetId="4" hidden="1">Orders!$A$1:$I$1800</definedName>
    <definedName name="_xlnm._FilterDatabase" localSheetId="0" hidden="1">Products!$A$1:$H$52</definedName>
    <definedName name="_xlnm._FilterDatabase" localSheetId="1" hidden="1">Suppliers!$A$1:$G$15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98" i="5" l="1"/>
  <c r="K916" i="5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K148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Vyom Patel</author>
  </authors>
  <commentList>
    <comment ref="D4" authorId="0" shapeId="0" xr:uid="{D66470CF-0F6B-CF4F-8EA2-22C57C7C258E}">
      <text>
        <r>
          <rPr>
            <b/>
            <sz val="10"/>
            <color rgb="FF000000"/>
            <rFont val="Tahoma"/>
            <family val="2"/>
          </rPr>
          <t>Vyom Patel:</t>
        </r>
        <r>
          <rPr>
            <sz val="10"/>
            <color rgb="FF000000"/>
            <rFont val="Tahoma"/>
            <family val="2"/>
          </rPr>
          <t xml:space="preserve">
supplier_rating missing — expected range 1-5</t>
        </r>
      </text>
    </comment>
    <comment ref="F6" authorId="0" shapeId="0" xr:uid="{5F883F97-75DE-814A-82B1-1AFD4047FBA2}">
      <text>
        <r>
          <rPr>
            <b/>
            <sz val="10"/>
            <color rgb="FF000000"/>
            <rFont val="Tahoma"/>
            <family val="2"/>
          </rPr>
          <t>Vyom Patel:</t>
        </r>
        <r>
          <rPr>
            <sz val="10"/>
            <color rgb="FF000000"/>
            <rFont val="Tahoma"/>
            <family val="2"/>
          </rPr>
          <t xml:space="preserve">
Audit date recorded as 'Unknown' in source data — cleared to blank 15/07/2026</t>
        </r>
      </text>
    </comment>
    <comment ref="D7" authorId="0" shapeId="0" xr:uid="{179062DF-FF9F-6546-AE5B-79FB145F6080}">
      <text>
        <r>
          <rPr>
            <b/>
            <sz val="10"/>
            <color rgb="FF000000"/>
            <rFont val="Tahoma"/>
            <family val="2"/>
          </rPr>
          <t>Vyom Patel:</t>
        </r>
        <r>
          <rPr>
            <sz val="10"/>
            <color rgb="FF000000"/>
            <rFont val="Tahoma"/>
            <family val="2"/>
          </rPr>
          <t xml:space="preserve">
supplier_rating 0 out of range — expected 1-5</t>
        </r>
      </text>
    </comment>
    <comment ref="F10" authorId="0" shapeId="0" xr:uid="{0D2F428F-98A4-C545-AB16-FB3BC41DA8D1}">
      <text>
        <r>
          <rPr>
            <b/>
            <sz val="10"/>
            <color rgb="FF000000"/>
            <rFont val="Tahoma"/>
            <family val="2"/>
          </rPr>
          <t>Vyom Patel:</t>
        </r>
        <r>
          <rPr>
            <sz val="10"/>
            <color rgb="FF000000"/>
            <rFont val="Tahoma"/>
            <family val="2"/>
          </rPr>
          <t xml:space="preserve">
Audit date recorded as 'Unknown' in source data — cleared to blank 15/07/2026</t>
        </r>
      </text>
    </comment>
    <comment ref="D11" authorId="0" shapeId="0" xr:uid="{B5833A02-B231-4949-88D8-C7C731087755}">
      <text>
        <r>
          <rPr>
            <b/>
            <sz val="10"/>
            <color rgb="FF000000"/>
            <rFont val="Tahoma"/>
            <family val="2"/>
          </rPr>
          <t>Vyom Patel:</t>
        </r>
        <r>
          <rPr>
            <sz val="10"/>
            <color rgb="FF000000"/>
            <rFont val="Tahoma"/>
            <family val="2"/>
          </rPr>
          <t xml:space="preserve">
supplier_rating 6 out of range — expected 1-5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Vyom Patel</author>
  </authors>
  <commentList>
    <comment ref="F2" authorId="0" shapeId="0" xr:uid="{3AEEC477-FEA4-F34A-950B-63E28EE32D8A}">
      <text>
        <r>
          <rPr>
            <b/>
            <sz val="10"/>
            <color rgb="FF000000"/>
            <rFont val="Tahoma"/>
            <family val="2"/>
          </rPr>
          <t>Vyom Patel: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Was 'Valid' but expiry date has passed — status corrected 15/07/2026</t>
        </r>
      </text>
    </comment>
    <comment ref="F12" authorId="0" shapeId="0" xr:uid="{A14BD6C6-D4DE-FE46-99AD-F4E4F1DF510D}">
      <text>
        <r>
          <rPr>
            <b/>
            <sz val="10"/>
            <color rgb="FF000000"/>
            <rFont val="Tahoma"/>
            <family val="2"/>
          </rPr>
          <t>Vyom Patel:</t>
        </r>
        <r>
          <rPr>
            <sz val="10"/>
            <color rgb="FF000000"/>
            <rFont val="Tahoma"/>
            <family val="2"/>
          </rPr>
          <t xml:space="preserve">
Was 'Valid' but expiry date has passed — status corrected 15/07/2026</t>
        </r>
      </text>
    </comment>
    <comment ref="F27" authorId="0" shapeId="0" xr:uid="{440F6324-1BA1-4340-9795-051396D3AB4C}">
      <text>
        <r>
          <rPr>
            <b/>
            <sz val="10"/>
            <color rgb="FF000000"/>
            <rFont val="Tahoma"/>
            <family val="2"/>
          </rPr>
          <t>Vyom Patel: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Was 'Valid' but expiry date has passed — status corrected 15/07/2026</t>
        </r>
      </text>
    </comment>
    <comment ref="F37" authorId="0" shapeId="0" xr:uid="{9EF63F33-DCDD-8143-A9AC-F1D337408006}">
      <text>
        <r>
          <rPr>
            <b/>
            <sz val="10"/>
            <color rgb="FF000000"/>
            <rFont val="Tahoma"/>
            <family val="2"/>
          </rPr>
          <t>Vyom Patel:</t>
        </r>
        <r>
          <rPr>
            <sz val="10"/>
            <color rgb="FF000000"/>
            <rFont val="Tahoma"/>
            <family val="2"/>
          </rPr>
          <t xml:space="preserve">
Was 'Valid' but expiry date has passed — status corrected 15/07/2026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Vyom Patel</author>
  </authors>
  <commentList>
    <comment ref="B7" authorId="0" shapeId="0" xr:uid="{393D7689-5485-A142-AAE5-AC4D3C49EFED}">
      <text>
        <r>
          <rPr>
            <b/>
            <sz val="10"/>
            <color rgb="FF000000"/>
            <rFont val="Tahoma"/>
            <family val="2"/>
          </rPr>
          <t>Vyom Patel:</t>
        </r>
        <r>
          <rPr>
            <sz val="10"/>
            <color rgb="FF000000"/>
            <rFont val="Tahoma"/>
            <family val="2"/>
          </rPr>
          <t xml:space="preserve">
batch B-9999 not found in Batches — orphan reference</t>
        </r>
      </text>
    </comment>
  </commentList>
</comment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<sst xmlns="http://schemas.openxmlformats.org/spreadsheetml/2006/main" count="12875" uniqueCount="3207">
  <si>
    <t>product_id</t>
  </si>
  <si>
    <t>product_name</t>
  </si>
  <si>
    <t>product_category</t>
  </si>
  <si>
    <t>brand</t>
  </si>
  <si>
    <t>storage_type</t>
  </si>
  <si>
    <t>unit_cost</t>
  </si>
  <si>
    <t>unit_sell_price</t>
  </si>
  <si>
    <t>active_status</t>
  </si>
  <si>
    <t>P-001</t>
  </si>
  <si>
    <t>Yoghurt Drink 250ml</t>
  </si>
  <si>
    <t>Dairy</t>
  </si>
  <si>
    <t>Meadow Valley</t>
  </si>
  <si>
    <t>Chilled</t>
  </si>
  <si>
    <t>Active</t>
  </si>
  <si>
    <t>P-002</t>
  </si>
  <si>
    <t>Greek Yoghurt 500g</t>
  </si>
  <si>
    <t>SouthPeak</t>
  </si>
  <si>
    <t>P-003</t>
  </si>
  <si>
    <t>Butter 500g</t>
  </si>
  <si>
    <t>P-004</t>
  </si>
  <si>
    <t>Cheese Slices 250g</t>
  </si>
  <si>
    <t>Discontinued</t>
  </si>
  <si>
    <t>P-005</t>
  </si>
  <si>
    <t>Milk 2L</t>
  </si>
  <si>
    <t>KiwiFresh</t>
  </si>
  <si>
    <t>P-006</t>
  </si>
  <si>
    <t>Cream 300ml</t>
  </si>
  <si>
    <t>Alpine Co</t>
  </si>
  <si>
    <t>P-007</t>
  </si>
  <si>
    <t>Custard 600g</t>
  </si>
  <si>
    <t>P-008</t>
  </si>
  <si>
    <t>Orange Juice 1L</t>
  </si>
  <si>
    <t>Chilled Drinks</t>
  </si>
  <si>
    <t>P-009</t>
  </si>
  <si>
    <t>Kombucha 330ml</t>
  </si>
  <si>
    <t>Harbour Foods</t>
  </si>
  <si>
    <t>P-010</t>
  </si>
  <si>
    <t>Iced Coffee 350ml</t>
  </si>
  <si>
    <t>P-011</t>
  </si>
  <si>
    <t>Smoothie Berry 300ml</t>
  </si>
  <si>
    <t>P-012</t>
  </si>
  <si>
    <t>Sparkling Lemonade 750ml</t>
  </si>
  <si>
    <t>P-013</t>
  </si>
  <si>
    <t>Oat Milk 1L</t>
  </si>
  <si>
    <t>P-014</t>
  </si>
  <si>
    <t>Protein Bar Choc 60g</t>
  </si>
  <si>
    <t>Protein Bars</t>
  </si>
  <si>
    <t>Ambient</t>
  </si>
  <si>
    <t>P-015</t>
  </si>
  <si>
    <t>Protein Bar Peanut 60g</t>
  </si>
  <si>
    <t>P-016</t>
  </si>
  <si>
    <t>Protein Bites 120g</t>
  </si>
  <si>
    <t>P-017</t>
  </si>
  <si>
    <t>Muesli Bar 6pk</t>
  </si>
  <si>
    <t>P-018</t>
  </si>
  <si>
    <t>Nut Bar Almond 45g</t>
  </si>
  <si>
    <t>P-019</t>
  </si>
  <si>
    <t>Energy Bar Cacao 50g</t>
  </si>
  <si>
    <t>P-020</t>
  </si>
  <si>
    <t>Butter Chicken 400g</t>
  </si>
  <si>
    <t>Frozen Meals</t>
  </si>
  <si>
    <t>GoodGrain</t>
  </si>
  <si>
    <t>Frozen</t>
  </si>
  <si>
    <t>P-021</t>
  </si>
  <si>
    <t>Lasagne 400g</t>
  </si>
  <si>
    <t>P-022</t>
  </si>
  <si>
    <t>Veg Curry 350g</t>
  </si>
  <si>
    <t>P-023</t>
  </si>
  <si>
    <t>Fish Pie 450g</t>
  </si>
  <si>
    <t>P-024</t>
  </si>
  <si>
    <t>Dumplings 500g</t>
  </si>
  <si>
    <t>P-025</t>
  </si>
  <si>
    <t>Pad Thai 400g</t>
  </si>
  <si>
    <t>SunBasket</t>
  </si>
  <si>
    <t>P-026</t>
  </si>
  <si>
    <t>Snack Box Kids</t>
  </si>
  <si>
    <t>Snacks</t>
  </si>
  <si>
    <t>PureNZ</t>
  </si>
  <si>
    <t>P-027</t>
  </si>
  <si>
    <t>Corn Chips 150g</t>
  </si>
  <si>
    <t>P-028</t>
  </si>
  <si>
    <t>Rice Crackers 100g</t>
  </si>
  <si>
    <t>P-029</t>
  </si>
  <si>
    <t>Trail Mix 200g</t>
  </si>
  <si>
    <t>P-030</t>
  </si>
  <si>
    <t>Popcorn Sea Salt 80g</t>
  </si>
  <si>
    <t>P-031</t>
  </si>
  <si>
    <t>Veggie Chips 90g</t>
  </si>
  <si>
    <t>P-032</t>
  </si>
  <si>
    <t>Pretzels 120g</t>
  </si>
  <si>
    <t>P-033</t>
  </si>
  <si>
    <t>Tomato Sauce 500ml</t>
  </si>
  <si>
    <t>Sauces</t>
  </si>
  <si>
    <t>P-034</t>
  </si>
  <si>
    <t>Sweet Chilli 300ml</t>
  </si>
  <si>
    <t>P-035</t>
  </si>
  <si>
    <t>Aioli 250ml</t>
  </si>
  <si>
    <t>P-036</t>
  </si>
  <si>
    <t>BBQ Sauce 500ml</t>
  </si>
  <si>
    <t>P-037</t>
  </si>
  <si>
    <t>Pasta Sauce 400g</t>
  </si>
  <si>
    <t>P-038</t>
  </si>
  <si>
    <t>Soy Sauce 250ml</t>
  </si>
  <si>
    <t>P-039</t>
  </si>
  <si>
    <t>Pasta Penne 500g</t>
  </si>
  <si>
    <t>P-040</t>
  </si>
  <si>
    <t>Basmati Rice 1kg</t>
  </si>
  <si>
    <t>Packaged</t>
  </si>
  <si>
    <t>P-041</t>
  </si>
  <si>
    <t>Chickpeas Can 400g</t>
  </si>
  <si>
    <t>P-042</t>
  </si>
  <si>
    <t>Oats 750g</t>
  </si>
  <si>
    <t>P-043</t>
  </si>
  <si>
    <t>Crackers Water 125g</t>
  </si>
  <si>
    <t>P-044</t>
  </si>
  <si>
    <t>Soup Pumpkin 400g</t>
  </si>
  <si>
    <t>P-045</t>
  </si>
  <si>
    <t>Noodles 5pk</t>
  </si>
  <si>
    <t>P-046</t>
  </si>
  <si>
    <t>Protein Powder 1kg</t>
  </si>
  <si>
    <t>Health</t>
  </si>
  <si>
    <t>P-047</t>
  </si>
  <si>
    <t>Chia Seeds 300g</t>
  </si>
  <si>
    <t>P-048</t>
  </si>
  <si>
    <t>Almond Butter 250g</t>
  </si>
  <si>
    <t>P-049</t>
  </si>
  <si>
    <t>Granola 450g</t>
  </si>
  <si>
    <t>P-050</t>
  </si>
  <si>
    <t>Kombucha Starter Kit</t>
  </si>
  <si>
    <t>P-051</t>
  </si>
  <si>
    <t>Collagen Powder 200g</t>
  </si>
  <si>
    <t>supplier_id</t>
  </si>
  <si>
    <t>supplier_name</t>
  </si>
  <si>
    <t>country</t>
  </si>
  <si>
    <t>supplier_rating</t>
  </si>
  <si>
    <t>main_category</t>
  </si>
  <si>
    <t>last_audit_date</t>
  </si>
  <si>
    <t>certification_status</t>
  </si>
  <si>
    <t>S-01</t>
  </si>
  <si>
    <t>Meadow Valley Dairy Ltd</t>
  </si>
  <si>
    <t>Australia</t>
  </si>
  <si>
    <t>Certified</t>
  </si>
  <si>
    <t>S-02</t>
  </si>
  <si>
    <t>Southern Fine Foods</t>
  </si>
  <si>
    <t>New Zealand</t>
  </si>
  <si>
    <t>S-03</t>
  </si>
  <si>
    <t>Pacific Beverage Co</t>
  </si>
  <si>
    <t>S-04</t>
  </si>
  <si>
    <t>Auckland Frozen Foods</t>
  </si>
  <si>
    <t>Pending</t>
  </si>
  <si>
    <t>S-05</t>
  </si>
  <si>
    <t>GrainWorks NZ</t>
  </si>
  <si>
    <t>S-06</t>
  </si>
  <si>
    <t>Sunrise Snacks Ltd</t>
  </si>
  <si>
    <t>S-07</t>
  </si>
  <si>
    <t>Harvest Sauce Company</t>
  </si>
  <si>
    <t>S-08</t>
  </si>
  <si>
    <t>NutriLife Health Foods</t>
  </si>
  <si>
    <t>S-09</t>
  </si>
  <si>
    <t>Bay Packaging Foods</t>
  </si>
  <si>
    <t>S-10</t>
  </si>
  <si>
    <t>Kereru Organics</t>
  </si>
  <si>
    <t>S-11</t>
  </si>
  <si>
    <t>TransTasman Imports</t>
  </si>
  <si>
    <t>S-12</t>
  </si>
  <si>
    <t>Waikato Dairy Collective</t>
  </si>
  <si>
    <t>S-13</t>
  </si>
  <si>
    <t>Golden Coast Trading</t>
  </si>
  <si>
    <t>S-14</t>
  </si>
  <si>
    <t>Alpine Provisions</t>
  </si>
  <si>
    <t>batch_id</t>
  </si>
  <si>
    <t>batch_number</t>
  </si>
  <si>
    <t>manufacture_date</t>
  </si>
  <si>
    <t>expiry_date</t>
  </si>
  <si>
    <t>quantity_received</t>
  </si>
  <si>
    <t>quantity_remaining</t>
  </si>
  <si>
    <t>warehouse_location</t>
  </si>
  <si>
    <t>quality_status</t>
  </si>
  <si>
    <t>document_status</t>
  </si>
  <si>
    <t>B-0001</t>
  </si>
  <si>
    <t>M2-2606-C</t>
  </si>
  <si>
    <t>C3-A6</t>
  </si>
  <si>
    <t>Passed</t>
  </si>
  <si>
    <t>Complete</t>
  </si>
  <si>
    <t>B-0002</t>
  </si>
  <si>
    <t>CW-2512-C</t>
  </si>
  <si>
    <t>A2-D3</t>
  </si>
  <si>
    <t>Incomplete</t>
  </si>
  <si>
    <t>B-0003</t>
  </si>
  <si>
    <t>C3-2510-B</t>
  </si>
  <si>
    <t>C1-B5</t>
  </si>
  <si>
    <t>B-0004</t>
  </si>
  <si>
    <t>BS-2602-A</t>
  </si>
  <si>
    <t>A3-D5</t>
  </si>
  <si>
    <t>Missing</t>
  </si>
  <si>
    <t>B-0005</t>
  </si>
  <si>
    <t>PB-2507-D</t>
  </si>
  <si>
    <t>A3-A4</t>
  </si>
  <si>
    <t>B-0006</t>
  </si>
  <si>
    <t>PB-2601-B</t>
  </si>
  <si>
    <t>A2-D6</t>
  </si>
  <si>
    <t>B-0007</t>
  </si>
  <si>
    <t>GY-2606-C</t>
  </si>
  <si>
    <t>C2-B3</t>
  </si>
  <si>
    <t>B-0008</t>
  </si>
  <si>
    <t>A3-D3</t>
  </si>
  <si>
    <t>B-0009</t>
  </si>
  <si>
    <t>K3-2607-D</t>
  </si>
  <si>
    <t>C3-C4</t>
  </si>
  <si>
    <t>B-0010</t>
  </si>
  <si>
    <t>TS-2507-C</t>
  </si>
  <si>
    <t>A1-B1</t>
  </si>
  <si>
    <t>B-0011</t>
  </si>
  <si>
    <t>BR-2503-D</t>
  </si>
  <si>
    <t>A1-D2</t>
  </si>
  <si>
    <t>B-0012</t>
  </si>
  <si>
    <t>SC-2509-C</t>
  </si>
  <si>
    <t>B-0013</t>
  </si>
  <si>
    <t>VC-2509-D</t>
  </si>
  <si>
    <t>A2-C3</t>
  </si>
  <si>
    <t>B-0014</t>
  </si>
  <si>
    <t>IC-2608-C</t>
  </si>
  <si>
    <t>C3-A5</t>
  </si>
  <si>
    <t>B-0015</t>
  </si>
  <si>
    <t>FP-2508-D</t>
  </si>
  <si>
    <t>F2-D6</t>
  </si>
  <si>
    <t>B-0016</t>
  </si>
  <si>
    <t>K3-2502-D</t>
  </si>
  <si>
    <t>C1-D3</t>
  </si>
  <si>
    <t>B-0017</t>
  </si>
  <si>
    <t>A3-A1</t>
  </si>
  <si>
    <t>Hold</t>
  </si>
  <si>
    <t>B-0018</t>
  </si>
  <si>
    <t>GY-2509-C</t>
  </si>
  <si>
    <t>C1-B3</t>
  </si>
  <si>
    <t>B-0019</t>
  </si>
  <si>
    <t>BC-2602-B</t>
  </si>
  <si>
    <t>F1-A3</t>
  </si>
  <si>
    <t>B-0020</t>
  </si>
  <si>
    <t>M2-2512-D</t>
  </si>
  <si>
    <t>C2-D4</t>
  </si>
  <si>
    <t>B-0021</t>
  </si>
  <si>
    <t>NB-2509-D</t>
  </si>
  <si>
    <t>A2-B4</t>
  </si>
  <si>
    <t>B-0022</t>
  </si>
  <si>
    <t>VC-2506-A</t>
  </si>
  <si>
    <t>F2-D4</t>
  </si>
  <si>
    <t>B-0023</t>
  </si>
  <si>
    <t>PB-2509-C</t>
  </si>
  <si>
    <t>B-0024</t>
  </si>
  <si>
    <t>L4-2506-C</t>
  </si>
  <si>
    <t>F1-B3</t>
  </si>
  <si>
    <t>B-0025</t>
  </si>
  <si>
    <t>YD-2505-D</t>
  </si>
  <si>
    <t>C2-B1</t>
  </si>
  <si>
    <t>B-0026</t>
  </si>
  <si>
    <t>OJ-2603-B</t>
  </si>
  <si>
    <t>C1-D5</t>
  </si>
  <si>
    <t>B-0027</t>
  </si>
  <si>
    <t>KS-2604-C</t>
  </si>
  <si>
    <t>A1-B3</t>
  </si>
  <si>
    <t>B-0028</t>
  </si>
  <si>
    <t>SL-2506-C</t>
  </si>
  <si>
    <t>B-0029</t>
  </si>
  <si>
    <t>CW-2508-C</t>
  </si>
  <si>
    <t>A3-C4</t>
  </si>
  <si>
    <t>B-0030</t>
  </si>
  <si>
    <t>N5-2510-A</t>
  </si>
  <si>
    <t>A1-A6</t>
  </si>
  <si>
    <t>Failed</t>
  </si>
  <si>
    <t>B-0031</t>
  </si>
  <si>
    <t>G4-2605-D</t>
  </si>
  <si>
    <t>A2-C6</t>
  </si>
  <si>
    <t>B-0032</t>
  </si>
  <si>
    <t>CC-2511-C</t>
  </si>
  <si>
    <t>A1-D4</t>
  </si>
  <si>
    <t>B-0033</t>
  </si>
  <si>
    <t>BR-2604-C</t>
  </si>
  <si>
    <t>A3-B6</t>
  </si>
  <si>
    <t>B-0034</t>
  </si>
  <si>
    <t>BS-2509-B</t>
  </si>
  <si>
    <t>A2-D2</t>
  </si>
  <si>
    <t>B-0035</t>
  </si>
  <si>
    <t>OM-2606-D</t>
  </si>
  <si>
    <t>C3-C5</t>
  </si>
  <si>
    <t>B-0036</t>
  </si>
  <si>
    <t>IC-2605-D</t>
  </si>
  <si>
    <t>C2-B4</t>
  </si>
  <si>
    <t>B-0037</t>
  </si>
  <si>
    <t>PP-2602-A</t>
  </si>
  <si>
    <t>A2-A5</t>
  </si>
  <si>
    <t>B-0038</t>
  </si>
  <si>
    <t>IC-2506-D</t>
  </si>
  <si>
    <t>C2-C6</t>
  </si>
  <si>
    <t>B-0039</t>
  </si>
  <si>
    <t>A2-2512-A</t>
  </si>
  <si>
    <t>A2-B6</t>
  </si>
  <si>
    <t>B-0040</t>
  </si>
  <si>
    <t>L4-2511-D</t>
  </si>
  <si>
    <t>F2-B4</t>
  </si>
  <si>
    <t>B-0041</t>
  </si>
  <si>
    <t>PS-2604-C</t>
  </si>
  <si>
    <t>A3-C6</t>
  </si>
  <si>
    <t>B-0042</t>
  </si>
  <si>
    <t>PS-2508-C</t>
  </si>
  <si>
    <t>B-0043</t>
  </si>
  <si>
    <t>KS-2503-B</t>
  </si>
  <si>
    <t>B-0044</t>
  </si>
  <si>
    <t>B5-2604-C</t>
  </si>
  <si>
    <t>C2-C2</t>
  </si>
  <si>
    <t>B-0045</t>
  </si>
  <si>
    <t>VC-2511-B</t>
  </si>
  <si>
    <t>A2-C1</t>
  </si>
  <si>
    <t>B-0046</t>
  </si>
  <si>
    <t>A2-2509-C</t>
  </si>
  <si>
    <t>A3-C5</t>
  </si>
  <si>
    <t>B-0047</t>
  </si>
  <si>
    <t>PS-2511-C</t>
  </si>
  <si>
    <t>B-0048</t>
  </si>
  <si>
    <t>A2-2506-D</t>
  </si>
  <si>
    <t>A2-B3</t>
  </si>
  <si>
    <t>B-0049</t>
  </si>
  <si>
    <t>A2-2601-D</t>
  </si>
  <si>
    <t>A1-C2</t>
  </si>
  <si>
    <t>B-0050</t>
  </si>
  <si>
    <t>PB-2512-B</t>
  </si>
  <si>
    <t>A1-B5</t>
  </si>
  <si>
    <t>B-0051</t>
  </si>
  <si>
    <t>CW-2505-B</t>
  </si>
  <si>
    <t>B-0052</t>
  </si>
  <si>
    <t>C6-2508-A</t>
  </si>
  <si>
    <t>C2-D1</t>
  </si>
  <si>
    <t>B-0053</t>
  </si>
  <si>
    <t>C1-A6</t>
  </si>
  <si>
    <t>B-0054</t>
  </si>
  <si>
    <t>CS-2603-D</t>
  </si>
  <si>
    <t>B-0055</t>
  </si>
  <si>
    <t>C3-2604-C</t>
  </si>
  <si>
    <t>C2-A3</t>
  </si>
  <si>
    <t>B-0056</t>
  </si>
  <si>
    <t>PS-2506-C</t>
  </si>
  <si>
    <t>B-0057</t>
  </si>
  <si>
    <t>NB-2509-B</t>
  </si>
  <si>
    <t>B-0058</t>
  </si>
  <si>
    <t>PS-2601-A</t>
  </si>
  <si>
    <t>A1-C4</t>
  </si>
  <si>
    <t>B-0059</t>
  </si>
  <si>
    <t>TM-2508-C</t>
  </si>
  <si>
    <t>A1-D5</t>
  </si>
  <si>
    <t>B-0060</t>
  </si>
  <si>
    <t>PB-2510-D</t>
  </si>
  <si>
    <t>A3-C1</t>
  </si>
  <si>
    <t>B-0061</t>
  </si>
  <si>
    <t>RC-2507-D</t>
  </si>
  <si>
    <t>A3-D6</t>
  </si>
  <si>
    <t>B-0062</t>
  </si>
  <si>
    <t>C6-2607-C</t>
  </si>
  <si>
    <t>C3-B3</t>
  </si>
  <si>
    <t>B-0063</t>
  </si>
  <si>
    <t>O7-2509-B</t>
  </si>
  <si>
    <t>A2-D5</t>
  </si>
  <si>
    <t>B-0064</t>
  </si>
  <si>
    <t>PS-2512-D</t>
  </si>
  <si>
    <t>A3-A3</t>
  </si>
  <si>
    <t>B-0065</t>
  </si>
  <si>
    <t>D5-2504-D</t>
  </si>
  <si>
    <t>F3-B3</t>
  </si>
  <si>
    <t>B-0066</t>
  </si>
  <si>
    <t>CS-2601-D</t>
  </si>
  <si>
    <t>B-0067</t>
  </si>
  <si>
    <t>CS-2512-C</t>
  </si>
  <si>
    <t>C2-A5</t>
  </si>
  <si>
    <t>B-0068</t>
  </si>
  <si>
    <t>BC-2602-C</t>
  </si>
  <si>
    <t>F3-A6</t>
  </si>
  <si>
    <t>B-0069</t>
  </si>
  <si>
    <t>GY-2507-A</t>
  </si>
  <si>
    <t>B-0070</t>
  </si>
  <si>
    <t>K3-2506-B</t>
  </si>
  <si>
    <t>B-0071</t>
  </si>
  <si>
    <t>B-0072</t>
  </si>
  <si>
    <t>O7-2601-A</t>
  </si>
  <si>
    <t>A2-A2</t>
  </si>
  <si>
    <t>B-0073</t>
  </si>
  <si>
    <t>GY-2602-B</t>
  </si>
  <si>
    <t>C1-B1</t>
  </si>
  <si>
    <t>B-0074</t>
  </si>
  <si>
    <t>N5-2605-C</t>
  </si>
  <si>
    <t>A2-A3</t>
  </si>
  <si>
    <t>B-0075</t>
  </si>
  <si>
    <t>PB-2604-B</t>
  </si>
  <si>
    <t>A2-B5</t>
  </si>
  <si>
    <t>B-0076</t>
  </si>
  <si>
    <t>C3-2601-A</t>
  </si>
  <si>
    <t>B-0077</t>
  </si>
  <si>
    <t>CS-2505-C</t>
  </si>
  <si>
    <t>B-0078</t>
  </si>
  <si>
    <t>PP-2604-A</t>
  </si>
  <si>
    <t>B-0079</t>
  </si>
  <si>
    <t>FP-2503-D</t>
  </si>
  <si>
    <t>F1-D6</t>
  </si>
  <si>
    <t>B-0080</t>
  </si>
  <si>
    <t>SC-2508-B</t>
  </si>
  <si>
    <t>B-0081</t>
  </si>
  <si>
    <t>TM-2502-A</t>
  </si>
  <si>
    <t>A3-B1</t>
  </si>
  <si>
    <t>B-0082</t>
  </si>
  <si>
    <t>CP-2505-A</t>
  </si>
  <si>
    <t>B-0083</t>
  </si>
  <si>
    <t>NB-2602-A</t>
  </si>
  <si>
    <t>B-0084</t>
  </si>
  <si>
    <t>B-0085</t>
  </si>
  <si>
    <t>OM-2509-C</t>
  </si>
  <si>
    <t>C1-C4</t>
  </si>
  <si>
    <t>B-0086</t>
  </si>
  <si>
    <t>SC-2603-A</t>
  </si>
  <si>
    <t>A3-B2</t>
  </si>
  <si>
    <t>B-0087</t>
  </si>
  <si>
    <t>CS-2606-C</t>
  </si>
  <si>
    <t>C1-C2</t>
  </si>
  <si>
    <t>B-0088</t>
  </si>
  <si>
    <t>C3-2507-C</t>
  </si>
  <si>
    <t>C1-C6</t>
  </si>
  <si>
    <t>B-0089</t>
  </si>
  <si>
    <t>BR-2606-D</t>
  </si>
  <si>
    <t>A3-A2</t>
  </si>
  <si>
    <t>B-0090</t>
  </si>
  <si>
    <t>PB-2506-C</t>
  </si>
  <si>
    <t>B-0091</t>
  </si>
  <si>
    <t>IC-2606-B</t>
  </si>
  <si>
    <t>B-0092</t>
  </si>
  <si>
    <t>P1-2511-A</t>
  </si>
  <si>
    <t>A2-C5</t>
  </si>
  <si>
    <t>B-0093</t>
  </si>
  <si>
    <t>K3-2601-B</t>
  </si>
  <si>
    <t>B-0094</t>
  </si>
  <si>
    <t>C6-2512-A</t>
  </si>
  <si>
    <t>C2-B5</t>
  </si>
  <si>
    <t>B-0095</t>
  </si>
  <si>
    <t>BR-2602-D</t>
  </si>
  <si>
    <t>B-0096</t>
  </si>
  <si>
    <t>CS-2502-B</t>
  </si>
  <si>
    <t>A3-D2</t>
  </si>
  <si>
    <t>B-0097</t>
  </si>
  <si>
    <t>PS-2505-D</t>
  </si>
  <si>
    <t>A3-A6</t>
  </si>
  <si>
    <t>B-0098</t>
  </si>
  <si>
    <t>L4-2605-C</t>
  </si>
  <si>
    <t>F3-C5</t>
  </si>
  <si>
    <t>B-0099</t>
  </si>
  <si>
    <t>B-0100</t>
  </si>
  <si>
    <t>SB-2506-C</t>
  </si>
  <si>
    <t>B-0101</t>
  </si>
  <si>
    <t>BR-2509-B</t>
  </si>
  <si>
    <t>A1-A5</t>
  </si>
  <si>
    <t>B-0102</t>
  </si>
  <si>
    <t>O7-2605-C</t>
  </si>
  <si>
    <t>A1-A2</t>
  </si>
  <si>
    <t>B-0103</t>
  </si>
  <si>
    <t>B5-2602-A</t>
  </si>
  <si>
    <t>C2-D6</t>
  </si>
  <si>
    <t>B-0104</t>
  </si>
  <si>
    <t>C2-C5</t>
  </si>
  <si>
    <t>B-0105</t>
  </si>
  <si>
    <t>B-0106</t>
  </si>
  <si>
    <t>VC-2501-A</t>
  </si>
  <si>
    <t>F3-C6</t>
  </si>
  <si>
    <t>B-0107</t>
  </si>
  <si>
    <t>EB-2508-C</t>
  </si>
  <si>
    <t>B-0108</t>
  </si>
  <si>
    <t>CP-2511-A</t>
  </si>
  <si>
    <t>B-0109</t>
  </si>
  <si>
    <t>SP-2512-D</t>
  </si>
  <si>
    <t>B-0110</t>
  </si>
  <si>
    <t>YD-2503-A</t>
  </si>
  <si>
    <t>C2-B2</t>
  </si>
  <si>
    <t>B-0111</t>
  </si>
  <si>
    <t>O7-2602-D</t>
  </si>
  <si>
    <t>B-0112</t>
  </si>
  <si>
    <t>K3-2508-D</t>
  </si>
  <si>
    <t>C2-B6</t>
  </si>
  <si>
    <t>B-0113</t>
  </si>
  <si>
    <t>CW-2501-D</t>
  </si>
  <si>
    <t>B-0114</t>
  </si>
  <si>
    <t>B-0115</t>
  </si>
  <si>
    <t>AB-2603-D</t>
  </si>
  <si>
    <t>B-0116</t>
  </si>
  <si>
    <t>F2-C1</t>
  </si>
  <si>
    <t>B-0117</t>
  </si>
  <si>
    <t>CS-2607-B</t>
  </si>
  <si>
    <t>C1-B2</t>
  </si>
  <si>
    <t>B-0118</t>
  </si>
  <si>
    <t>G4-2509-C</t>
  </si>
  <si>
    <t>B-0119</t>
  </si>
  <si>
    <t>CS-2512-B</t>
  </si>
  <si>
    <t>B-0120</t>
  </si>
  <si>
    <t>PT-2509-C</t>
  </si>
  <si>
    <t>F2-B6</t>
  </si>
  <si>
    <t>B-0121</t>
  </si>
  <si>
    <t>CS-2507-A</t>
  </si>
  <si>
    <t>B-0122</t>
  </si>
  <si>
    <t>PP-2510-D</t>
  </si>
  <si>
    <t>A1-C5</t>
  </si>
  <si>
    <t>B-0123</t>
  </si>
  <si>
    <t>N5-2507-C</t>
  </si>
  <si>
    <t>B-0124</t>
  </si>
  <si>
    <t>BC-2504-D</t>
  </si>
  <si>
    <t>F1-A4</t>
  </si>
  <si>
    <t>B-0125</t>
  </si>
  <si>
    <t>VC-2504-D</t>
  </si>
  <si>
    <t>F3-A2</t>
  </si>
  <si>
    <t>B-0126</t>
  </si>
  <si>
    <t>PB-2602-D</t>
  </si>
  <si>
    <t>A3-A5</t>
  </si>
  <si>
    <t>B-0127</t>
  </si>
  <si>
    <t>C6-2504-C</t>
  </si>
  <si>
    <t>B-0128</t>
  </si>
  <si>
    <t>PT-2510-D</t>
  </si>
  <si>
    <t>F1-A1</t>
  </si>
  <si>
    <t>B-0129</t>
  </si>
  <si>
    <t>G4-2601-D</t>
  </si>
  <si>
    <t>A2-D1</t>
  </si>
  <si>
    <t>B-0130</t>
  </si>
  <si>
    <t>C3-2509-C</t>
  </si>
  <si>
    <t>C2-C4</t>
  </si>
  <si>
    <t>B-0131</t>
  </si>
  <si>
    <t>PB-2606-C</t>
  </si>
  <si>
    <t>B-0132</t>
  </si>
  <si>
    <t>O7-2506-D</t>
  </si>
  <si>
    <t>B-0133</t>
  </si>
  <si>
    <t>NB-2602-B</t>
  </si>
  <si>
    <t>A3-B4</t>
  </si>
  <si>
    <t>B-0134</t>
  </si>
  <si>
    <t>M2-2603-B</t>
  </si>
  <si>
    <t>C2-D5</t>
  </si>
  <si>
    <t>B-0135</t>
  </si>
  <si>
    <t>N5-2502-A</t>
  </si>
  <si>
    <t>B-0136</t>
  </si>
  <si>
    <t>SB-2512-B</t>
  </si>
  <si>
    <t>A2-C4</t>
  </si>
  <si>
    <t>B-0137</t>
  </si>
  <si>
    <t>N5-2601-A</t>
  </si>
  <si>
    <t>A1-D3</t>
  </si>
  <si>
    <t>B-0138</t>
  </si>
  <si>
    <t>N5-2503-A</t>
  </si>
  <si>
    <t>B-0139</t>
  </si>
  <si>
    <t>B-0140</t>
  </si>
  <si>
    <t>M2-2507-D</t>
  </si>
  <si>
    <t>C3-A3</t>
  </si>
  <si>
    <t>B-0141</t>
  </si>
  <si>
    <t>SL-2511-A</t>
  </si>
  <si>
    <t>B-0142</t>
  </si>
  <si>
    <t>SL-2507-C</t>
  </si>
  <si>
    <t>B-0143</t>
  </si>
  <si>
    <t>TS-2603-D</t>
  </si>
  <si>
    <t>B-0144</t>
  </si>
  <si>
    <t>PS-2606-C</t>
  </si>
  <si>
    <t>A1-D1</t>
  </si>
  <si>
    <t>B-0145</t>
  </si>
  <si>
    <t>B-0146</t>
  </si>
  <si>
    <t>BR-2508-C</t>
  </si>
  <si>
    <t>B-0147</t>
  </si>
  <si>
    <t>C6-2607-B</t>
  </si>
  <si>
    <t>C3-D4</t>
  </si>
  <si>
    <t>B-0148</t>
  </si>
  <si>
    <t>CC-2604-C</t>
  </si>
  <si>
    <t>B-0149</t>
  </si>
  <si>
    <t>CC-2601-B</t>
  </si>
  <si>
    <t>B-0150</t>
  </si>
  <si>
    <t>B5-2607-D</t>
  </si>
  <si>
    <t>B-0151</t>
  </si>
  <si>
    <t>C3-2509-D</t>
  </si>
  <si>
    <t>C1-A1</t>
  </si>
  <si>
    <t>B-0152</t>
  </si>
  <si>
    <t>SS-2601-A</t>
  </si>
  <si>
    <t>A2-A6</t>
  </si>
  <si>
    <t>B-0153</t>
  </si>
  <si>
    <t>D5-2506-A</t>
  </si>
  <si>
    <t>F3-B6</t>
  </si>
  <si>
    <t>B-0154</t>
  </si>
  <si>
    <t>BR-2508-D</t>
  </si>
  <si>
    <t>B-0155</t>
  </si>
  <si>
    <t>PP-2604-B</t>
  </si>
  <si>
    <t>B-0156</t>
  </si>
  <si>
    <t>PP-2511-D</t>
  </si>
  <si>
    <t>B-0157</t>
  </si>
  <si>
    <t>B5-2602-D</t>
  </si>
  <si>
    <t>B-0158</t>
  </si>
  <si>
    <t>IC-2602-C</t>
  </si>
  <si>
    <t>C1-D1</t>
  </si>
  <si>
    <t>B-0159</t>
  </si>
  <si>
    <t>BC-2507-D</t>
  </si>
  <si>
    <t>F1-C2</t>
  </si>
  <si>
    <t>B-0160</t>
  </si>
  <si>
    <t>CS-2502-A</t>
  </si>
  <si>
    <t>B-0161</t>
  </si>
  <si>
    <t>PS-2505-A</t>
  </si>
  <si>
    <t>B-0162</t>
  </si>
  <si>
    <t>CS-2504-B</t>
  </si>
  <si>
    <t>B-0163</t>
  </si>
  <si>
    <t>YD-2511-D</t>
  </si>
  <si>
    <t>B-0164</t>
  </si>
  <si>
    <t>A2-2501-C</t>
  </si>
  <si>
    <t>A1-B6</t>
  </si>
  <si>
    <t>B-0165</t>
  </si>
  <si>
    <t>PB-2607-A</t>
  </si>
  <si>
    <t>B-0166</t>
  </si>
  <si>
    <t>EB-2507-C</t>
  </si>
  <si>
    <t>B-0167</t>
  </si>
  <si>
    <t>L4-2601-A</t>
  </si>
  <si>
    <t>B-0168</t>
  </si>
  <si>
    <t>C3-2601-B</t>
  </si>
  <si>
    <t>C1-A4</t>
  </si>
  <si>
    <t>B-0169</t>
  </si>
  <si>
    <t>OJ-2608-A</t>
  </si>
  <si>
    <t>C1-B6</t>
  </si>
  <si>
    <t>B-0170</t>
  </si>
  <si>
    <t>VC-2511-D</t>
  </si>
  <si>
    <t>F1-C3</t>
  </si>
  <si>
    <t>B-0171</t>
  </si>
  <si>
    <t>BR-2509-D</t>
  </si>
  <si>
    <t>B-0172</t>
  </si>
  <si>
    <t>GY-2601-C</t>
  </si>
  <si>
    <t>C2-A4</t>
  </si>
  <si>
    <t>B-0173</t>
  </si>
  <si>
    <t>PB-2504-A</t>
  </si>
  <si>
    <t>A2-C2</t>
  </si>
  <si>
    <t>B-0174</t>
  </si>
  <si>
    <t>AB-2502-B</t>
  </si>
  <si>
    <t>B-0175</t>
  </si>
  <si>
    <t>PB-2502-B</t>
  </si>
  <si>
    <t>A2-A1</t>
  </si>
  <si>
    <t>B-0176</t>
  </si>
  <si>
    <t>IC-2601-A</t>
  </si>
  <si>
    <t>B-0177</t>
  </si>
  <si>
    <t>BS-2601-C</t>
  </si>
  <si>
    <t>B-0178</t>
  </si>
  <si>
    <t>BR-2603-B</t>
  </si>
  <si>
    <t>B-0179</t>
  </si>
  <si>
    <t>N5-2508-D</t>
  </si>
  <si>
    <t>A3-D1</t>
  </si>
  <si>
    <t>B-0180</t>
  </si>
  <si>
    <t>PS-2509-C</t>
  </si>
  <si>
    <t>B-0181</t>
  </si>
  <si>
    <t>C3-2605-D</t>
  </si>
  <si>
    <t>C3-C6</t>
  </si>
  <si>
    <t>B-0182</t>
  </si>
  <si>
    <t>CS-2606-D</t>
  </si>
  <si>
    <t>B-0183</t>
  </si>
  <si>
    <t>P1-2510-D</t>
  </si>
  <si>
    <t>B-0184</t>
  </si>
  <si>
    <t>CW-2601-B</t>
  </si>
  <si>
    <t>B-0185</t>
  </si>
  <si>
    <t>C3-2502-B</t>
  </si>
  <si>
    <t>B-0186</t>
  </si>
  <si>
    <t>SP-2506-A</t>
  </si>
  <si>
    <t>B-0187</t>
  </si>
  <si>
    <t>YD-2408-A</t>
  </si>
  <si>
    <t>B-0188</t>
  </si>
  <si>
    <t>PS-2502-D</t>
  </si>
  <si>
    <t>B-0189</t>
  </si>
  <si>
    <t>CP-2510-B</t>
  </si>
  <si>
    <t>B-0190</t>
  </si>
  <si>
    <t>PB-2603-A</t>
  </si>
  <si>
    <t>B-0191</t>
  </si>
  <si>
    <t>CS-2607-D</t>
  </si>
  <si>
    <t>B-0192</t>
  </si>
  <si>
    <t>VC-2601-A</t>
  </si>
  <si>
    <t>B-0193</t>
  </si>
  <si>
    <t>O7-2502-B</t>
  </si>
  <si>
    <t>B-0194</t>
  </si>
  <si>
    <t>A3-C3</t>
  </si>
  <si>
    <t>B-0195</t>
  </si>
  <si>
    <t>VC-2512-C</t>
  </si>
  <si>
    <t>F3-D6</t>
  </si>
  <si>
    <t>B-0196</t>
  </si>
  <si>
    <t>GY-2511-B</t>
  </si>
  <si>
    <t>B-0197</t>
  </si>
  <si>
    <t>CW-2507-B</t>
  </si>
  <si>
    <t>B-0198</t>
  </si>
  <si>
    <t>MB-2605-A</t>
  </si>
  <si>
    <t>B-0199</t>
  </si>
  <si>
    <t>C3-A1</t>
  </si>
  <si>
    <t>B-0200</t>
  </si>
  <si>
    <t>KS-2603-D</t>
  </si>
  <si>
    <t>A1-C1</t>
  </si>
  <si>
    <t>B-0201</t>
  </si>
  <si>
    <t>SC-2604-C</t>
  </si>
  <si>
    <t>A1-C3</t>
  </si>
  <si>
    <t>B-0202</t>
  </si>
  <si>
    <t>SC-2506-D</t>
  </si>
  <si>
    <t>B-0203</t>
  </si>
  <si>
    <t>B5-2510-A</t>
  </si>
  <si>
    <t>B-0204</t>
  </si>
  <si>
    <t>PB-2501-C</t>
  </si>
  <si>
    <t>B-0205</t>
  </si>
  <si>
    <t>OM-2510-C</t>
  </si>
  <si>
    <t>B-0206</t>
  </si>
  <si>
    <t>OJ-2606-A</t>
  </si>
  <si>
    <t>B-0207</t>
  </si>
  <si>
    <t>B5-2601-A</t>
  </si>
  <si>
    <t>B-0208</t>
  </si>
  <si>
    <t>SL-2606-D</t>
  </si>
  <si>
    <t>B-0209</t>
  </si>
  <si>
    <t>PS-2507-B</t>
  </si>
  <si>
    <t>A1-C6</t>
  </si>
  <si>
    <t>B-0210</t>
  </si>
  <si>
    <t>B-0211</t>
  </si>
  <si>
    <t>B-0212</t>
  </si>
  <si>
    <t>B-0213</t>
  </si>
  <si>
    <t>C3-2511-C</t>
  </si>
  <si>
    <t>C3-D6</t>
  </si>
  <si>
    <t>B-0214</t>
  </si>
  <si>
    <t>OJ-2608-C</t>
  </si>
  <si>
    <t>B-0215</t>
  </si>
  <si>
    <t>MB-2507-B</t>
  </si>
  <si>
    <t>B-0216</t>
  </si>
  <si>
    <t>TS-2604-D</t>
  </si>
  <si>
    <t>B-0217</t>
  </si>
  <si>
    <t>L4-2602-D</t>
  </si>
  <si>
    <t>F2-C6</t>
  </si>
  <si>
    <t>B-0218</t>
  </si>
  <si>
    <t>AB-2508-C</t>
  </si>
  <si>
    <t>B-0219</t>
  </si>
  <si>
    <t>VC-2603-D</t>
  </si>
  <si>
    <t>B-0220</t>
  </si>
  <si>
    <t>CP-2509-C</t>
  </si>
  <si>
    <t>B-0221</t>
  </si>
  <si>
    <t>TS-2511-D</t>
  </si>
  <si>
    <t>B-0222</t>
  </si>
  <si>
    <t>TM-2601-B</t>
  </si>
  <si>
    <t>A1-A4</t>
  </si>
  <si>
    <t>B-0223</t>
  </si>
  <si>
    <t>MB-2509-B</t>
  </si>
  <si>
    <t>B-0224</t>
  </si>
  <si>
    <t>C3-C3</t>
  </si>
  <si>
    <t>B-0225</t>
  </si>
  <si>
    <t>B-0226</t>
  </si>
  <si>
    <t>F1-A2</t>
  </si>
  <si>
    <t>B-0227</t>
  </si>
  <si>
    <t>A2-2512-D</t>
  </si>
  <si>
    <t>B-0228</t>
  </si>
  <si>
    <t>SP-2509-B</t>
  </si>
  <si>
    <t>A2-D4</t>
  </si>
  <si>
    <t>B-0229</t>
  </si>
  <si>
    <t>L4-2511-A</t>
  </si>
  <si>
    <t>F3-A3</t>
  </si>
  <si>
    <t>B-0230</t>
  </si>
  <si>
    <t>C3-2606-B</t>
  </si>
  <si>
    <t>B-0231</t>
  </si>
  <si>
    <t>CP-2602-A</t>
  </si>
  <si>
    <t>B-0232</t>
  </si>
  <si>
    <t>FP-2508-C</t>
  </si>
  <si>
    <t>B-0233</t>
  </si>
  <si>
    <t>M2-2605-B</t>
  </si>
  <si>
    <t>B-0234</t>
  </si>
  <si>
    <t>IC-2601-B</t>
  </si>
  <si>
    <t>B-0235</t>
  </si>
  <si>
    <t>PS-2511-A</t>
  </si>
  <si>
    <t>B-0236</t>
  </si>
  <si>
    <t>TS-2603-C</t>
  </si>
  <si>
    <t>B-0237</t>
  </si>
  <si>
    <t>EB-2511-B</t>
  </si>
  <si>
    <t>B-0238</t>
  </si>
  <si>
    <t>PS-2506-B</t>
  </si>
  <si>
    <t>A3-B5</t>
  </si>
  <si>
    <t>B-0239</t>
  </si>
  <si>
    <t>VC-2503-C</t>
  </si>
  <si>
    <t>B-0240</t>
  </si>
  <si>
    <t>M2-2602-D</t>
  </si>
  <si>
    <t>C1-A5</t>
  </si>
  <si>
    <t>B-0241</t>
  </si>
  <si>
    <t>SL-2606-C</t>
  </si>
  <si>
    <t>B-0242</t>
  </si>
  <si>
    <t>SS-2512-C</t>
  </si>
  <si>
    <t>B-0243</t>
  </si>
  <si>
    <t>B-0244</t>
  </si>
  <si>
    <t>PP-2509-D</t>
  </si>
  <si>
    <t>B-0245</t>
  </si>
  <si>
    <t>VC-2501-C</t>
  </si>
  <si>
    <t>B-0246</t>
  </si>
  <si>
    <t>G4-2504-A</t>
  </si>
  <si>
    <t>B-0247</t>
  </si>
  <si>
    <t>PT-2512-C</t>
  </si>
  <si>
    <t>F3-D2</t>
  </si>
  <si>
    <t>B-0248</t>
  </si>
  <si>
    <t>VC-2511-C</t>
  </si>
  <si>
    <t>A1-B4</t>
  </si>
  <si>
    <t>B-0249</t>
  </si>
  <si>
    <t>C6-2605-B</t>
  </si>
  <si>
    <t>B-0250</t>
  </si>
  <si>
    <t>C3-2602-A</t>
  </si>
  <si>
    <t>B-0251</t>
  </si>
  <si>
    <t>SC-2507-B</t>
  </si>
  <si>
    <t>B-0252</t>
  </si>
  <si>
    <t>C1-C3</t>
  </si>
  <si>
    <t>B-0253</t>
  </si>
  <si>
    <t>B-0254</t>
  </si>
  <si>
    <t>CC-2508-C</t>
  </si>
  <si>
    <t>A1-D6</t>
  </si>
  <si>
    <t>B-0255</t>
  </si>
  <si>
    <t>BS-2605-B</t>
  </si>
  <si>
    <t>B-0256</t>
  </si>
  <si>
    <t>PB-2508-A</t>
  </si>
  <si>
    <t>B-0257</t>
  </si>
  <si>
    <t>PS-2606-B</t>
  </si>
  <si>
    <t>B-0258</t>
  </si>
  <si>
    <t>B-0259</t>
  </si>
  <si>
    <t>VC-2606-C</t>
  </si>
  <si>
    <t>F3-B1</t>
  </si>
  <si>
    <t>B-0260</t>
  </si>
  <si>
    <t>BS-2602-B</t>
  </si>
  <si>
    <t>B-0261</t>
  </si>
  <si>
    <t>PS-2508-D</t>
  </si>
  <si>
    <t>B-0262</t>
  </si>
  <si>
    <t>SP-2508-C</t>
  </si>
  <si>
    <t>B-0263</t>
  </si>
  <si>
    <t>IC-2512-A</t>
  </si>
  <si>
    <t>B-0264</t>
  </si>
  <si>
    <t>B-0265</t>
  </si>
  <si>
    <t>M2-2605-A</t>
  </si>
  <si>
    <t>B-0266</t>
  </si>
  <si>
    <t>CC-2509-C</t>
  </si>
  <si>
    <t>B-0267</t>
  </si>
  <si>
    <t>SL-2604-C</t>
  </si>
  <si>
    <t>B-0268</t>
  </si>
  <si>
    <t>YD-2506-D</t>
  </si>
  <si>
    <t>B-0269</t>
  </si>
  <si>
    <t>SB-2510-C</t>
  </si>
  <si>
    <t>B-0270</t>
  </si>
  <si>
    <t>NB-2503-D</t>
  </si>
  <si>
    <t>B-0271</t>
  </si>
  <si>
    <t>K3-2501-C</t>
  </si>
  <si>
    <t>B-0272</t>
  </si>
  <si>
    <t>C1-D4</t>
  </si>
  <si>
    <t>B-0273</t>
  </si>
  <si>
    <t>OM-2504-C</t>
  </si>
  <si>
    <t>B-0274</t>
  </si>
  <si>
    <t>D5-2508-B</t>
  </si>
  <si>
    <t>B-0275</t>
  </si>
  <si>
    <t>C3-2607-A</t>
  </si>
  <si>
    <t>C1-D2</t>
  </si>
  <si>
    <t>B-0276</t>
  </si>
  <si>
    <t>O7-2604-B</t>
  </si>
  <si>
    <t>B-0277</t>
  </si>
  <si>
    <t>L4-2510-D</t>
  </si>
  <si>
    <t>B-0278</t>
  </si>
  <si>
    <t>D5-2509-D</t>
  </si>
  <si>
    <t>F2-C4</t>
  </si>
  <si>
    <t>B-0279</t>
  </si>
  <si>
    <t>SC-2502-A</t>
  </si>
  <si>
    <t>B-0280</t>
  </si>
  <si>
    <t>CS-2503-D</t>
  </si>
  <si>
    <t>B-0281</t>
  </si>
  <si>
    <t>SC-2507-A</t>
  </si>
  <si>
    <t>B-0282</t>
  </si>
  <si>
    <t>AB-2505-D</t>
  </si>
  <si>
    <t>B-0283</t>
  </si>
  <si>
    <t>FP-2512-C</t>
  </si>
  <si>
    <t>F3-C3</t>
  </si>
  <si>
    <t>B-0284</t>
  </si>
  <si>
    <t>SB-2511-A</t>
  </si>
  <si>
    <t>B-0285</t>
  </si>
  <si>
    <t>PS-2510-B</t>
  </si>
  <si>
    <t>B-0286</t>
  </si>
  <si>
    <t>P1-2504-D</t>
  </si>
  <si>
    <t>B-0287</t>
  </si>
  <si>
    <t>O7-2501-A</t>
  </si>
  <si>
    <t>B-0288</t>
  </si>
  <si>
    <t>TM-2606-B</t>
  </si>
  <si>
    <t>B-0289</t>
  </si>
  <si>
    <t>N5-2510-B</t>
  </si>
  <si>
    <t>B-0290</t>
  </si>
  <si>
    <t>OJ-2603-A</t>
  </si>
  <si>
    <t>B-0291</t>
  </si>
  <si>
    <t>OM-2506-B</t>
  </si>
  <si>
    <t>B-0292</t>
  </si>
  <si>
    <t>VC-2508-C</t>
  </si>
  <si>
    <t>B-0293</t>
  </si>
  <si>
    <t>B5-2605-A</t>
  </si>
  <si>
    <t>C2-A1</t>
  </si>
  <si>
    <t>B-0294</t>
  </si>
  <si>
    <t>PT-2507-A</t>
  </si>
  <si>
    <t>B-0295</t>
  </si>
  <si>
    <t>P1-2506-C</t>
  </si>
  <si>
    <t>B-0296</t>
  </si>
  <si>
    <t>GY-2510-D</t>
  </si>
  <si>
    <t>B-0297</t>
  </si>
  <si>
    <t>PP-2505-B</t>
  </si>
  <si>
    <t>B-0298</t>
  </si>
  <si>
    <t>SB-2505-C</t>
  </si>
  <si>
    <t>C3-C2</t>
  </si>
  <si>
    <t>B-0299</t>
  </si>
  <si>
    <t>SL-2607-B</t>
  </si>
  <si>
    <t>C1-D6</t>
  </si>
  <si>
    <t>customer_id</t>
  </si>
  <si>
    <t>customer_name</t>
  </si>
  <si>
    <t>customer_type</t>
  </si>
  <si>
    <t>region</t>
  </si>
  <si>
    <t>contact_person</t>
  </si>
  <si>
    <t>account_status</t>
  </si>
  <si>
    <t>C-001</t>
  </si>
  <si>
    <t>Tawa Kitchen</t>
  </si>
  <si>
    <t>Restaurant</t>
  </si>
  <si>
    <t>Emma Singh</t>
  </si>
  <si>
    <t>On hold</t>
  </si>
  <si>
    <t>C-002</t>
  </si>
  <si>
    <t>Addington Foodstore</t>
  </si>
  <si>
    <t>Small Retailer</t>
  </si>
  <si>
    <t>Sam Ng</t>
  </si>
  <si>
    <t>C-003</t>
  </si>
  <si>
    <t>Ponsonby Kitchen</t>
  </si>
  <si>
    <t>Wellington</t>
  </si>
  <si>
    <t>Emma Ng</t>
  </si>
  <si>
    <t>C-004</t>
  </si>
  <si>
    <t>Ponsonby Foodstore</t>
  </si>
  <si>
    <t>Otago</t>
  </si>
  <si>
    <t>Emma Kaur</t>
  </si>
  <si>
    <t>C-005</t>
  </si>
  <si>
    <t>Mount Espresso Bar</t>
  </si>
  <si>
    <t>Cafe</t>
  </si>
  <si>
    <t>Nina Ng</t>
  </si>
  <si>
    <t>C-006</t>
  </si>
  <si>
    <t>Fernhill Corner Dairy</t>
  </si>
  <si>
    <t>James Patel</t>
  </si>
  <si>
    <t>C-007</t>
  </si>
  <si>
    <t>North End Foodstore</t>
  </si>
  <si>
    <t>Waikato</t>
  </si>
  <si>
    <t>Sarah Patel</t>
  </si>
  <si>
    <t>C-008</t>
  </si>
  <si>
    <t>Riccarton Corner Dairy</t>
  </si>
  <si>
    <t>Mei Patel</t>
  </si>
  <si>
    <t>C-009</t>
  </si>
  <si>
    <t>Te Rapa SuperMart</t>
  </si>
  <si>
    <t>Supermarket</t>
  </si>
  <si>
    <t>James Walker</t>
  </si>
  <si>
    <t>C-010</t>
  </si>
  <si>
    <t>Mount Foodstore</t>
  </si>
  <si>
    <t>Canterbury</t>
  </si>
  <si>
    <t>C-011</t>
  </si>
  <si>
    <t>Newtown Foodstore</t>
  </si>
  <si>
    <t>Aroha Ng</t>
  </si>
  <si>
    <t>C-012</t>
  </si>
  <si>
    <t>Fernhill Espresso Bar</t>
  </si>
  <si>
    <t>Closed</t>
  </si>
  <si>
    <t>C-013</t>
  </si>
  <si>
    <t>Greenlane SuperMart</t>
  </si>
  <si>
    <t>Alex Lee</t>
  </si>
  <si>
    <t>C-014</t>
  </si>
  <si>
    <t>Bayfair SuperMart</t>
  </si>
  <si>
    <t>Mei Lee</t>
  </si>
  <si>
    <t>C-015</t>
  </si>
  <si>
    <t>C-016</t>
  </si>
  <si>
    <t>Addington Espresso Bar</t>
  </si>
  <si>
    <t>C-017</t>
  </si>
  <si>
    <t>Newtown Espresso Bar</t>
  </si>
  <si>
    <t>Auckland</t>
  </si>
  <si>
    <t>Alex Singh</t>
  </si>
  <si>
    <t>C-018</t>
  </si>
  <si>
    <t>Aroha Kaur</t>
  </si>
  <si>
    <t>C-019</t>
  </si>
  <si>
    <t>Sam Singh</t>
  </si>
  <si>
    <t>C-020</t>
  </si>
  <si>
    <t>Papamoa SuperMart</t>
  </si>
  <si>
    <t>Emma Smith</t>
  </si>
  <si>
    <t>C-021</t>
  </si>
  <si>
    <t>Papamoa Foodstore</t>
  </si>
  <si>
    <t>Sam Kaur</t>
  </si>
  <si>
    <t>C-022</t>
  </si>
  <si>
    <t>Lakeside Kitchen</t>
  </si>
  <si>
    <t>Sarah Smith</t>
  </si>
  <si>
    <t>C-023</t>
  </si>
  <si>
    <t>Bayfair Foodstore</t>
  </si>
  <si>
    <t>C-024</t>
  </si>
  <si>
    <t>Kelburn Espresso Bar</t>
  </si>
  <si>
    <t>Tom Patel</t>
  </si>
  <si>
    <t>C-025</t>
  </si>
  <si>
    <t>Bayfair Kitchen</t>
  </si>
  <si>
    <t>Nina Singh</t>
  </si>
  <si>
    <t>C-026</t>
  </si>
  <si>
    <t>Harbourview Espresso Bar</t>
  </si>
  <si>
    <t>C-027</t>
  </si>
  <si>
    <t>Lakeside SuperMart</t>
  </si>
  <si>
    <t>C-028</t>
  </si>
  <si>
    <t>Lakeside Foodstore</t>
  </si>
  <si>
    <t>C-029</t>
  </si>
  <si>
    <t>Kiri Ng</t>
  </si>
  <si>
    <t>C-030</t>
  </si>
  <si>
    <t>North End Espresso Bar</t>
  </si>
  <si>
    <t>C-031</t>
  </si>
  <si>
    <t>Bayfair Espresso Bar</t>
  </si>
  <si>
    <t>C-032</t>
  </si>
  <si>
    <t>Ponsonby Corner Dairy</t>
  </si>
  <si>
    <t>C-033</t>
  </si>
  <si>
    <t>Karori Espresso Bar</t>
  </si>
  <si>
    <t>Mike Singh</t>
  </si>
  <si>
    <t>C-034</t>
  </si>
  <si>
    <t>Tom Brown</t>
  </si>
  <si>
    <t>C-035</t>
  </si>
  <si>
    <t>Tawa Corner Dairy</t>
  </si>
  <si>
    <t>James Kaur</t>
  </si>
  <si>
    <t>C-036</t>
  </si>
  <si>
    <t>Ponsonby Espresso Bar</t>
  </si>
  <si>
    <t>Rawiri Williams</t>
  </si>
  <si>
    <t>C-037</t>
  </si>
  <si>
    <t>Tom Ng</t>
  </si>
  <si>
    <t>C-038</t>
  </si>
  <si>
    <t>Kelburn SuperMart</t>
  </si>
  <si>
    <t>Nina Walker</t>
  </si>
  <si>
    <t>C-039</t>
  </si>
  <si>
    <t>Aroha Smith</t>
  </si>
  <si>
    <t>C-040</t>
  </si>
  <si>
    <t>Rawiri Brown</t>
  </si>
  <si>
    <t>C-041</t>
  </si>
  <si>
    <t>Harbourview Foodstore</t>
  </si>
  <si>
    <t>Mei Singh</t>
  </si>
  <si>
    <t>C-042</t>
  </si>
  <si>
    <t>Mei Kaur</t>
  </si>
  <si>
    <t>C-043</t>
  </si>
  <si>
    <t>Lakeside Espresso Bar</t>
  </si>
  <si>
    <t>Priya Kaur</t>
  </si>
  <si>
    <t>C-044</t>
  </si>
  <si>
    <t>Te Rapa Kitchen</t>
  </si>
  <si>
    <t>Priya Smith</t>
  </si>
  <si>
    <t>C-045</t>
  </si>
  <si>
    <t>Kelburn Foodstore</t>
  </si>
  <si>
    <t>Tom Walker</t>
  </si>
  <si>
    <t>C-046</t>
  </si>
  <si>
    <t>Papamoa Corner Dairy</t>
  </si>
  <si>
    <t>C-047</t>
  </si>
  <si>
    <t>Rawiri Ng</t>
  </si>
  <si>
    <t>C-048</t>
  </si>
  <si>
    <t>Dominion Rd SuperMart</t>
  </si>
  <si>
    <t>Dan Singh</t>
  </si>
  <si>
    <t>C-049</t>
  </si>
  <si>
    <t>Sumner Kitchen</t>
  </si>
  <si>
    <t>Mike Walker</t>
  </si>
  <si>
    <t>C-050</t>
  </si>
  <si>
    <t>Newtown Kitchen</t>
  </si>
  <si>
    <t>Nina Lee</t>
  </si>
  <si>
    <t>C-051</t>
  </si>
  <si>
    <t>Mike Patel</t>
  </si>
  <si>
    <t>C-052</t>
  </si>
  <si>
    <t>Sumner Foodstore</t>
  </si>
  <si>
    <t>Nina Henare</t>
  </si>
  <si>
    <t>C-053</t>
  </si>
  <si>
    <t>C-054</t>
  </si>
  <si>
    <t>Mount Kitchen</t>
  </si>
  <si>
    <t>C-055</t>
  </si>
  <si>
    <t>C-056</t>
  </si>
  <si>
    <t>Dominion Rd Kitchen</t>
  </si>
  <si>
    <t>Lucy Patel</t>
  </si>
  <si>
    <t>C-057</t>
  </si>
  <si>
    <t>Karori Kitchen</t>
  </si>
  <si>
    <t>Dan Brown</t>
  </si>
  <si>
    <t>C-058</t>
  </si>
  <si>
    <t>C-059</t>
  </si>
  <si>
    <t>Te Rapa Foodstore</t>
  </si>
  <si>
    <t>James Lee</t>
  </si>
  <si>
    <t>C-060</t>
  </si>
  <si>
    <t>C-061</t>
  </si>
  <si>
    <t>C-062</t>
  </si>
  <si>
    <t>Addington Corner Dairy</t>
  </si>
  <si>
    <t>Dan Lee</t>
  </si>
  <si>
    <t>C-063</t>
  </si>
  <si>
    <t>Remuera Espresso Bar</t>
  </si>
  <si>
    <t>Nina Brown</t>
  </si>
  <si>
    <t>C-064</t>
  </si>
  <si>
    <t>Lucy Brown</t>
  </si>
  <si>
    <t>C-065</t>
  </si>
  <si>
    <t>Sumner Espresso Bar</t>
  </si>
  <si>
    <t>Sarah Walker</t>
  </si>
  <si>
    <t>C-066</t>
  </si>
  <si>
    <t>Papamoa Espresso Bar</t>
  </si>
  <si>
    <t>C-067</t>
  </si>
  <si>
    <t>Lucy Williams</t>
  </si>
  <si>
    <t>C-068</t>
  </si>
  <si>
    <t>C-069</t>
  </si>
  <si>
    <t>Newtown Corner Dairy</t>
  </si>
  <si>
    <t>Bay of Plenty</t>
  </si>
  <si>
    <t>C-070</t>
  </si>
  <si>
    <t>Bayfair Corner Dairy</t>
  </si>
  <si>
    <t>order_id</t>
  </si>
  <si>
    <t>order_date</t>
  </si>
  <si>
    <t>dispatch_date</t>
  </si>
  <si>
    <t>quantity_sold</t>
  </si>
  <si>
    <t>sales_value</t>
  </si>
  <si>
    <t>delivery_region</t>
  </si>
  <si>
    <t>O-00001</t>
  </si>
  <si>
    <t>O-00002</t>
  </si>
  <si>
    <t>O-00003</t>
  </si>
  <si>
    <t>O-00004</t>
  </si>
  <si>
    <t>O-00005</t>
  </si>
  <si>
    <t>O-00006</t>
  </si>
  <si>
    <t>O-00007</t>
  </si>
  <si>
    <t>O-00008</t>
  </si>
  <si>
    <t>O-00009</t>
  </si>
  <si>
    <t>O-00010</t>
  </si>
  <si>
    <t>O-00011</t>
  </si>
  <si>
    <t>O-00012</t>
  </si>
  <si>
    <t>O-00013</t>
  </si>
  <si>
    <t>O-00014</t>
  </si>
  <si>
    <t>O-00015</t>
  </si>
  <si>
    <t>O-00016</t>
  </si>
  <si>
    <t>O-00017</t>
  </si>
  <si>
    <t>O-00018</t>
  </si>
  <si>
    <t>O-00019</t>
  </si>
  <si>
    <t>O-00020</t>
  </si>
  <si>
    <t>O-00021</t>
  </si>
  <si>
    <t>O-00022</t>
  </si>
  <si>
    <t>O-00023</t>
  </si>
  <si>
    <t>O-00024</t>
  </si>
  <si>
    <t>O-00025</t>
  </si>
  <si>
    <t>O-00026</t>
  </si>
  <si>
    <t>O-00027</t>
  </si>
  <si>
    <t>O-00028</t>
  </si>
  <si>
    <t>O-00029</t>
  </si>
  <si>
    <t>O-00030</t>
  </si>
  <si>
    <t>O-00031</t>
  </si>
  <si>
    <t>O-00032</t>
  </si>
  <si>
    <t>O-00033</t>
  </si>
  <si>
    <t>O-00034</t>
  </si>
  <si>
    <t>O-00035</t>
  </si>
  <si>
    <t>O-00036</t>
  </si>
  <si>
    <t>O-00037</t>
  </si>
  <si>
    <t>O-00038</t>
  </si>
  <si>
    <t>O-00039</t>
  </si>
  <si>
    <t>O-00040</t>
  </si>
  <si>
    <t>O-00041</t>
  </si>
  <si>
    <t>O-00042</t>
  </si>
  <si>
    <t>O-00043</t>
  </si>
  <si>
    <t>O-00044</t>
  </si>
  <si>
    <t>O-00045</t>
  </si>
  <si>
    <t>O-00046</t>
  </si>
  <si>
    <t>O-00047</t>
  </si>
  <si>
    <t>O-00048</t>
  </si>
  <si>
    <t>O-00049</t>
  </si>
  <si>
    <t>O-00050</t>
  </si>
  <si>
    <t>O-00051</t>
  </si>
  <si>
    <t>O-00052</t>
  </si>
  <si>
    <t>O-00053</t>
  </si>
  <si>
    <t>O-00054</t>
  </si>
  <si>
    <t>O-00055</t>
  </si>
  <si>
    <t>O-00056</t>
  </si>
  <si>
    <t>O-00057</t>
  </si>
  <si>
    <t>O-00058</t>
  </si>
  <si>
    <t>O-00059</t>
  </si>
  <si>
    <t>O-00060</t>
  </si>
  <si>
    <t>O-00061</t>
  </si>
  <si>
    <t>O-00062</t>
  </si>
  <si>
    <t>O-00063</t>
  </si>
  <si>
    <t>O-00064</t>
  </si>
  <si>
    <t>O-00065</t>
  </si>
  <si>
    <t>O-00066</t>
  </si>
  <si>
    <t>O-00067</t>
  </si>
  <si>
    <t>O-00068</t>
  </si>
  <si>
    <t>O-00069</t>
  </si>
  <si>
    <t>O-00070</t>
  </si>
  <si>
    <t>O-00071</t>
  </si>
  <si>
    <t>O-00072</t>
  </si>
  <si>
    <t>O-00073</t>
  </si>
  <si>
    <t>O-00074</t>
  </si>
  <si>
    <t>O-00075</t>
  </si>
  <si>
    <t>O-00076</t>
  </si>
  <si>
    <t>O-00077</t>
  </si>
  <si>
    <t>O-00078</t>
  </si>
  <si>
    <t>O-00079</t>
  </si>
  <si>
    <t>O-00080</t>
  </si>
  <si>
    <t>O-00081</t>
  </si>
  <si>
    <t>O-00082</t>
  </si>
  <si>
    <t>O-00083</t>
  </si>
  <si>
    <t>O-00084</t>
  </si>
  <si>
    <t>O-00085</t>
  </si>
  <si>
    <t>O-00086</t>
  </si>
  <si>
    <t>O-00087</t>
  </si>
  <si>
    <t>O-00088</t>
  </si>
  <si>
    <t>O-00089</t>
  </si>
  <si>
    <t>O-00090</t>
  </si>
  <si>
    <t>O-00091</t>
  </si>
  <si>
    <t>O-00092</t>
  </si>
  <si>
    <t>O-00093</t>
  </si>
  <si>
    <t>O-00094</t>
  </si>
  <si>
    <t>O-00095</t>
  </si>
  <si>
    <t>O-00096</t>
  </si>
  <si>
    <t>O-00097</t>
  </si>
  <si>
    <t>O-00098</t>
  </si>
  <si>
    <t>O-00099</t>
  </si>
  <si>
    <t>O-00100</t>
  </si>
  <si>
    <t>O-00101</t>
  </si>
  <si>
    <t>C-999</t>
  </si>
  <si>
    <t>O-00102</t>
  </si>
  <si>
    <t>O-00103</t>
  </si>
  <si>
    <t>O-00104</t>
  </si>
  <si>
    <t>O-00105</t>
  </si>
  <si>
    <t>O-00106</t>
  </si>
  <si>
    <t>O-00107</t>
  </si>
  <si>
    <t>O-00108</t>
  </si>
  <si>
    <t>O-00109</t>
  </si>
  <si>
    <t>O-00110</t>
  </si>
  <si>
    <t>O-00111</t>
  </si>
  <si>
    <t>O-00112</t>
  </si>
  <si>
    <t>O-00113</t>
  </si>
  <si>
    <t>O-00114</t>
  </si>
  <si>
    <t>O-00115</t>
  </si>
  <si>
    <t>O-00116</t>
  </si>
  <si>
    <t>O-00117</t>
  </si>
  <si>
    <t>O-00118</t>
  </si>
  <si>
    <t>O-00119</t>
  </si>
  <si>
    <t>O-00120</t>
  </si>
  <si>
    <t>O-00121</t>
  </si>
  <si>
    <t>O-00122</t>
  </si>
  <si>
    <t>O-00123</t>
  </si>
  <si>
    <t>O-00124</t>
  </si>
  <si>
    <t>O-00125</t>
  </si>
  <si>
    <t>O-00126</t>
  </si>
  <si>
    <t>O-00127</t>
  </si>
  <si>
    <t>O-00128</t>
  </si>
  <si>
    <t>O-00129</t>
  </si>
  <si>
    <t>O-00130</t>
  </si>
  <si>
    <t>O-00131</t>
  </si>
  <si>
    <t>O-00132</t>
  </si>
  <si>
    <t>O-00133</t>
  </si>
  <si>
    <t>O-00134</t>
  </si>
  <si>
    <t>O-00135</t>
  </si>
  <si>
    <t>O-00136</t>
  </si>
  <si>
    <t>O-00137</t>
  </si>
  <si>
    <t>O-00138</t>
  </si>
  <si>
    <t>O-00139</t>
  </si>
  <si>
    <t>O-00140</t>
  </si>
  <si>
    <t>O-00141</t>
  </si>
  <si>
    <t>O-00142</t>
  </si>
  <si>
    <t>O-00143</t>
  </si>
  <si>
    <t>O-00144</t>
  </si>
  <si>
    <t>O-00145</t>
  </si>
  <si>
    <t>O-00146</t>
  </si>
  <si>
    <t>O-00147</t>
  </si>
  <si>
    <t>O-00148</t>
  </si>
  <si>
    <t>O-00149</t>
  </si>
  <si>
    <t>O-00150</t>
  </si>
  <si>
    <t>O-00151</t>
  </si>
  <si>
    <t>O-00152</t>
  </si>
  <si>
    <t>O-00153</t>
  </si>
  <si>
    <t>O-00154</t>
  </si>
  <si>
    <t>O-00155</t>
  </si>
  <si>
    <t>O-00156</t>
  </si>
  <si>
    <t>O-00157</t>
  </si>
  <si>
    <t>O-00158</t>
  </si>
  <si>
    <t>O-00159</t>
  </si>
  <si>
    <t>O-00160</t>
  </si>
  <si>
    <t>O-00161</t>
  </si>
  <si>
    <t>O-00162</t>
  </si>
  <si>
    <t>O-00163</t>
  </si>
  <si>
    <t>O-00164</t>
  </si>
  <si>
    <t>O-00165</t>
  </si>
  <si>
    <t>O-00166</t>
  </si>
  <si>
    <t>O-00167</t>
  </si>
  <si>
    <t>O-00168</t>
  </si>
  <si>
    <t>O-00169</t>
  </si>
  <si>
    <t>O-00170</t>
  </si>
  <si>
    <t>O-00171</t>
  </si>
  <si>
    <t>O-00172</t>
  </si>
  <si>
    <t>O-00173</t>
  </si>
  <si>
    <t>O-00174</t>
  </si>
  <si>
    <t>O-00175</t>
  </si>
  <si>
    <t>O-00176</t>
  </si>
  <si>
    <t>O-00177</t>
  </si>
  <si>
    <t>O-00178</t>
  </si>
  <si>
    <t>O-00179</t>
  </si>
  <si>
    <t>O-00180</t>
  </si>
  <si>
    <t>O-00181</t>
  </si>
  <si>
    <t>O-00182</t>
  </si>
  <si>
    <t>O-00183</t>
  </si>
  <si>
    <t>O-00184</t>
  </si>
  <si>
    <t>O-00185</t>
  </si>
  <si>
    <t>O-00186</t>
  </si>
  <si>
    <t>O-00187</t>
  </si>
  <si>
    <t>O-00188</t>
  </si>
  <si>
    <t>O-00189</t>
  </si>
  <si>
    <t>O-00190</t>
  </si>
  <si>
    <t>O-00191</t>
  </si>
  <si>
    <t>O-00192</t>
  </si>
  <si>
    <t>O-00193</t>
  </si>
  <si>
    <t>O-00194</t>
  </si>
  <si>
    <t>O-00195</t>
  </si>
  <si>
    <t>O-00196</t>
  </si>
  <si>
    <t>O-00197</t>
  </si>
  <si>
    <t>O-00198</t>
  </si>
  <si>
    <t>O-00199</t>
  </si>
  <si>
    <t>O-00200</t>
  </si>
  <si>
    <t>O-00201</t>
  </si>
  <si>
    <t>C-888</t>
  </si>
  <si>
    <t>O-00202</t>
  </si>
  <si>
    <t>O-00203</t>
  </si>
  <si>
    <t>O-00204</t>
  </si>
  <si>
    <t>O-00205</t>
  </si>
  <si>
    <t>O-00206</t>
  </si>
  <si>
    <t>O-00207</t>
  </si>
  <si>
    <t>O-00208</t>
  </si>
  <si>
    <t>O-00209</t>
  </si>
  <si>
    <t>O-00210</t>
  </si>
  <si>
    <t>O-00211</t>
  </si>
  <si>
    <t>O-00212</t>
  </si>
  <si>
    <t>O-00213</t>
  </si>
  <si>
    <t>O-00214</t>
  </si>
  <si>
    <t>O-00215</t>
  </si>
  <si>
    <t>O-00216</t>
  </si>
  <si>
    <t>O-00217</t>
  </si>
  <si>
    <t>O-00218</t>
  </si>
  <si>
    <t>O-00219</t>
  </si>
  <si>
    <t>O-00220</t>
  </si>
  <si>
    <t>O-00221</t>
  </si>
  <si>
    <t>O-00222</t>
  </si>
  <si>
    <t>O-00223</t>
  </si>
  <si>
    <t>O-00224</t>
  </si>
  <si>
    <t>O-00225</t>
  </si>
  <si>
    <t>O-00226</t>
  </si>
  <si>
    <t>O-00227</t>
  </si>
  <si>
    <t>O-00228</t>
  </si>
  <si>
    <t>O-00229</t>
  </si>
  <si>
    <t>O-00230</t>
  </si>
  <si>
    <t>O-00231</t>
  </si>
  <si>
    <t>O-00232</t>
  </si>
  <si>
    <t>O-00233</t>
  </si>
  <si>
    <t>O-00234</t>
  </si>
  <si>
    <t>O-00235</t>
  </si>
  <si>
    <t>O-00236</t>
  </si>
  <si>
    <t>O-00237</t>
  </si>
  <si>
    <t>O-00238</t>
  </si>
  <si>
    <t>O-00239</t>
  </si>
  <si>
    <t>O-00240</t>
  </si>
  <si>
    <t>O-00241</t>
  </si>
  <si>
    <t>O-00242</t>
  </si>
  <si>
    <t>O-00243</t>
  </si>
  <si>
    <t>O-00244</t>
  </si>
  <si>
    <t>O-00245</t>
  </si>
  <si>
    <t>O-00246</t>
  </si>
  <si>
    <t>O-00247</t>
  </si>
  <si>
    <t>O-00248</t>
  </si>
  <si>
    <t>O-00249</t>
  </si>
  <si>
    <t>O-00250</t>
  </si>
  <si>
    <t>O-00251</t>
  </si>
  <si>
    <t>O-00252</t>
  </si>
  <si>
    <t>O-00253</t>
  </si>
  <si>
    <t>O-00254</t>
  </si>
  <si>
    <t>O-00255</t>
  </si>
  <si>
    <t>O-00256</t>
  </si>
  <si>
    <t>O-00257</t>
  </si>
  <si>
    <t>O-00258</t>
  </si>
  <si>
    <t>O-00259</t>
  </si>
  <si>
    <t>O-00260</t>
  </si>
  <si>
    <t>O-00261</t>
  </si>
  <si>
    <t>O-00262</t>
  </si>
  <si>
    <t>O-00263</t>
  </si>
  <si>
    <t>O-00264</t>
  </si>
  <si>
    <t>O-00265</t>
  </si>
  <si>
    <t>O-00266</t>
  </si>
  <si>
    <t>O-00267</t>
  </si>
  <si>
    <t>O-00268</t>
  </si>
  <si>
    <t>O-00269</t>
  </si>
  <si>
    <t>O-00270</t>
  </si>
  <si>
    <t>O-00271</t>
  </si>
  <si>
    <t>O-00272</t>
  </si>
  <si>
    <t>O-00273</t>
  </si>
  <si>
    <t>O-00274</t>
  </si>
  <si>
    <t>O-00275</t>
  </si>
  <si>
    <t>O-00276</t>
  </si>
  <si>
    <t>O-00277</t>
  </si>
  <si>
    <t>O-00278</t>
  </si>
  <si>
    <t>O-00279</t>
  </si>
  <si>
    <t>O-00280</t>
  </si>
  <si>
    <t>O-00281</t>
  </si>
  <si>
    <t>O-00282</t>
  </si>
  <si>
    <t>O-00283</t>
  </si>
  <si>
    <t>O-00284</t>
  </si>
  <si>
    <t>O-00285</t>
  </si>
  <si>
    <t>O-00286</t>
  </si>
  <si>
    <t>O-00287</t>
  </si>
  <si>
    <t>O-00288</t>
  </si>
  <si>
    <t>O-00289</t>
  </si>
  <si>
    <t>O-00290</t>
  </si>
  <si>
    <t>O-00291</t>
  </si>
  <si>
    <t>O-00292</t>
  </si>
  <si>
    <t>O-00293</t>
  </si>
  <si>
    <t>O-00294</t>
  </si>
  <si>
    <t>O-00295</t>
  </si>
  <si>
    <t>O-00296</t>
  </si>
  <si>
    <t>O-00297</t>
  </si>
  <si>
    <t>O-00298</t>
  </si>
  <si>
    <t>O-00299</t>
  </si>
  <si>
    <t>O-00300</t>
  </si>
  <si>
    <t>O-00301</t>
  </si>
  <si>
    <t>O-00302</t>
  </si>
  <si>
    <t>O-00303</t>
  </si>
  <si>
    <t>O-00304</t>
  </si>
  <si>
    <t>O-00305</t>
  </si>
  <si>
    <t>O-00306</t>
  </si>
  <si>
    <t>O-00307</t>
  </si>
  <si>
    <t>O-00308</t>
  </si>
  <si>
    <t>O-00309</t>
  </si>
  <si>
    <t>O-00310</t>
  </si>
  <si>
    <t>O-00311</t>
  </si>
  <si>
    <t>O-00312</t>
  </si>
  <si>
    <t>O-00313</t>
  </si>
  <si>
    <t>O-00314</t>
  </si>
  <si>
    <t>O-00315</t>
  </si>
  <si>
    <t>O-00316</t>
  </si>
  <si>
    <t>O-00317</t>
  </si>
  <si>
    <t>O-00318</t>
  </si>
  <si>
    <t>O-00319</t>
  </si>
  <si>
    <t>O-00320</t>
  </si>
  <si>
    <t>O-00321</t>
  </si>
  <si>
    <t>O-00322</t>
  </si>
  <si>
    <t>O-00323</t>
  </si>
  <si>
    <t>O-00324</t>
  </si>
  <si>
    <t>O-00325</t>
  </si>
  <si>
    <t>O-00326</t>
  </si>
  <si>
    <t>O-00327</t>
  </si>
  <si>
    <t>O-00328</t>
  </si>
  <si>
    <t>O-00329</t>
  </si>
  <si>
    <t>O-00330</t>
  </si>
  <si>
    <t>O-00331</t>
  </si>
  <si>
    <t>O-00332</t>
  </si>
  <si>
    <t>O-00333</t>
  </si>
  <si>
    <t>O-00334</t>
  </si>
  <si>
    <t>O-00335</t>
  </si>
  <si>
    <t>O-00336</t>
  </si>
  <si>
    <t>O-00337</t>
  </si>
  <si>
    <t>O-00338</t>
  </si>
  <si>
    <t>O-00339</t>
  </si>
  <si>
    <t>O-00340</t>
  </si>
  <si>
    <t>O-00341</t>
  </si>
  <si>
    <t>O-00342</t>
  </si>
  <si>
    <t>O-00343</t>
  </si>
  <si>
    <t>O-00344</t>
  </si>
  <si>
    <t>O-00345</t>
  </si>
  <si>
    <t>O-00346</t>
  </si>
  <si>
    <t>O-00347</t>
  </si>
  <si>
    <t>O-00348</t>
  </si>
  <si>
    <t>O-00349</t>
  </si>
  <si>
    <t>O-00350</t>
  </si>
  <si>
    <t>O-00351</t>
  </si>
  <si>
    <t>O-00352</t>
  </si>
  <si>
    <t>O-00353</t>
  </si>
  <si>
    <t>O-00354</t>
  </si>
  <si>
    <t>O-00355</t>
  </si>
  <si>
    <t>O-00356</t>
  </si>
  <si>
    <t>O-00357</t>
  </si>
  <si>
    <t>O-00358</t>
  </si>
  <si>
    <t>O-00359</t>
  </si>
  <si>
    <t>O-00360</t>
  </si>
  <si>
    <t>O-00361</t>
  </si>
  <si>
    <t>O-00362</t>
  </si>
  <si>
    <t>O-00363</t>
  </si>
  <si>
    <t>O-00364</t>
  </si>
  <si>
    <t>O-00365</t>
  </si>
  <si>
    <t>O-00366</t>
  </si>
  <si>
    <t>O-00367</t>
  </si>
  <si>
    <t>O-00368</t>
  </si>
  <si>
    <t>O-00369</t>
  </si>
  <si>
    <t>O-00370</t>
  </si>
  <si>
    <t>O-00371</t>
  </si>
  <si>
    <t>O-00372</t>
  </si>
  <si>
    <t>O-00373</t>
  </si>
  <si>
    <t>O-00374</t>
  </si>
  <si>
    <t>O-00375</t>
  </si>
  <si>
    <t>O-00376</t>
  </si>
  <si>
    <t>O-00377</t>
  </si>
  <si>
    <t>O-00378</t>
  </si>
  <si>
    <t>O-00379</t>
  </si>
  <si>
    <t>O-00380</t>
  </si>
  <si>
    <t>O-00381</t>
  </si>
  <si>
    <t>O-00382</t>
  </si>
  <si>
    <t>O-00383</t>
  </si>
  <si>
    <t>O-00384</t>
  </si>
  <si>
    <t>O-00385</t>
  </si>
  <si>
    <t>O-00386</t>
  </si>
  <si>
    <t>O-00387</t>
  </si>
  <si>
    <t>O-00388</t>
  </si>
  <si>
    <t>O-00389</t>
  </si>
  <si>
    <t>O-00390</t>
  </si>
  <si>
    <t>O-00391</t>
  </si>
  <si>
    <t>O-00392</t>
  </si>
  <si>
    <t>O-00393</t>
  </si>
  <si>
    <t>O-00394</t>
  </si>
  <si>
    <t>O-00395</t>
  </si>
  <si>
    <t>O-00396</t>
  </si>
  <si>
    <t>O-00397</t>
  </si>
  <si>
    <t>O-00398</t>
  </si>
  <si>
    <t>O-00399</t>
  </si>
  <si>
    <t>O-00400</t>
  </si>
  <si>
    <t>O-00401</t>
  </si>
  <si>
    <t>O-00402</t>
  </si>
  <si>
    <t>O-00403</t>
  </si>
  <si>
    <t>O-00404</t>
  </si>
  <si>
    <t>O-00405</t>
  </si>
  <si>
    <t>O-00406</t>
  </si>
  <si>
    <t>O-00407</t>
  </si>
  <si>
    <t>O-00408</t>
  </si>
  <si>
    <t>O-00409</t>
  </si>
  <si>
    <t>O-00410</t>
  </si>
  <si>
    <t>O-00411</t>
  </si>
  <si>
    <t>O-00412</t>
  </si>
  <si>
    <t>O-00413</t>
  </si>
  <si>
    <t>O-00414</t>
  </si>
  <si>
    <t>O-00415</t>
  </si>
  <si>
    <t>O-00416</t>
  </si>
  <si>
    <t>O-00417</t>
  </si>
  <si>
    <t>O-00418</t>
  </si>
  <si>
    <t>O-00419</t>
  </si>
  <si>
    <t>O-00420</t>
  </si>
  <si>
    <t>O-00421</t>
  </si>
  <si>
    <t>O-00422</t>
  </si>
  <si>
    <t>O-00423</t>
  </si>
  <si>
    <t>O-00424</t>
  </si>
  <si>
    <t>O-00425</t>
  </si>
  <si>
    <t>O-00426</t>
  </si>
  <si>
    <t>O-00427</t>
  </si>
  <si>
    <t>O-00428</t>
  </si>
  <si>
    <t>O-00429</t>
  </si>
  <si>
    <t>O-00430</t>
  </si>
  <si>
    <t>O-00431</t>
  </si>
  <si>
    <t>O-00432</t>
  </si>
  <si>
    <t>O-00433</t>
  </si>
  <si>
    <t>O-00434</t>
  </si>
  <si>
    <t>O-00435</t>
  </si>
  <si>
    <t>O-00436</t>
  </si>
  <si>
    <t>O-00437</t>
  </si>
  <si>
    <t>O-00438</t>
  </si>
  <si>
    <t>O-00439</t>
  </si>
  <si>
    <t>O-00440</t>
  </si>
  <si>
    <t>O-00441</t>
  </si>
  <si>
    <t>O-00442</t>
  </si>
  <si>
    <t>O-00443</t>
  </si>
  <si>
    <t>O-00444</t>
  </si>
  <si>
    <t>O-00445</t>
  </si>
  <si>
    <t>O-00446</t>
  </si>
  <si>
    <t>O-00447</t>
  </si>
  <si>
    <t>O-00448</t>
  </si>
  <si>
    <t>O-00449</t>
  </si>
  <si>
    <t>O-00450</t>
  </si>
  <si>
    <t>O-00451</t>
  </si>
  <si>
    <t>O-00452</t>
  </si>
  <si>
    <t>O-00453</t>
  </si>
  <si>
    <t>O-00454</t>
  </si>
  <si>
    <t>O-00455</t>
  </si>
  <si>
    <t>O-00456</t>
  </si>
  <si>
    <t>O-00457</t>
  </si>
  <si>
    <t>O-00458</t>
  </si>
  <si>
    <t>O-00459</t>
  </si>
  <si>
    <t>O-00460</t>
  </si>
  <si>
    <t>O-00461</t>
  </si>
  <si>
    <t>O-00462</t>
  </si>
  <si>
    <t>O-00463</t>
  </si>
  <si>
    <t>O-00464</t>
  </si>
  <si>
    <t>O-00465</t>
  </si>
  <si>
    <t>O-00466</t>
  </si>
  <si>
    <t>O-00467</t>
  </si>
  <si>
    <t>O-00468</t>
  </si>
  <si>
    <t>O-00469</t>
  </si>
  <si>
    <t>O-00470</t>
  </si>
  <si>
    <t>O-00471</t>
  </si>
  <si>
    <t>O-00472</t>
  </si>
  <si>
    <t>O-00473</t>
  </si>
  <si>
    <t>O-00474</t>
  </si>
  <si>
    <t>O-00475</t>
  </si>
  <si>
    <t>O-00476</t>
  </si>
  <si>
    <t>O-00477</t>
  </si>
  <si>
    <t>O-00478</t>
  </si>
  <si>
    <t>O-00479</t>
  </si>
  <si>
    <t>O-00480</t>
  </si>
  <si>
    <t>O-00481</t>
  </si>
  <si>
    <t>O-00482</t>
  </si>
  <si>
    <t>O-00483</t>
  </si>
  <si>
    <t>O-00484</t>
  </si>
  <si>
    <t>O-00485</t>
  </si>
  <si>
    <t>O-00486</t>
  </si>
  <si>
    <t>O-00487</t>
  </si>
  <si>
    <t>O-00488</t>
  </si>
  <si>
    <t>O-00489</t>
  </si>
  <si>
    <t>O-00490</t>
  </si>
  <si>
    <t>O-00491</t>
  </si>
  <si>
    <t>O-00492</t>
  </si>
  <si>
    <t>O-00493</t>
  </si>
  <si>
    <t>O-00494</t>
  </si>
  <si>
    <t>O-00495</t>
  </si>
  <si>
    <t>O-00496</t>
  </si>
  <si>
    <t>O-00497</t>
  </si>
  <si>
    <t>O-00498</t>
  </si>
  <si>
    <t>O-00499</t>
  </si>
  <si>
    <t>O-00500</t>
  </si>
  <si>
    <t>O-00501</t>
  </si>
  <si>
    <t>O-00502</t>
  </si>
  <si>
    <t>O-00503</t>
  </si>
  <si>
    <t>O-00504</t>
  </si>
  <si>
    <t>O-00505</t>
  </si>
  <si>
    <t>O-00506</t>
  </si>
  <si>
    <t>O-00507</t>
  </si>
  <si>
    <t>O-00508</t>
  </si>
  <si>
    <t>O-00509</t>
  </si>
  <si>
    <t>O-00510</t>
  </si>
  <si>
    <t>O-00511</t>
  </si>
  <si>
    <t>O-00512</t>
  </si>
  <si>
    <t>O-00513</t>
  </si>
  <si>
    <t>O-00514</t>
  </si>
  <si>
    <t>O-00515</t>
  </si>
  <si>
    <t>O-00516</t>
  </si>
  <si>
    <t>O-00517</t>
  </si>
  <si>
    <t>O-00518</t>
  </si>
  <si>
    <t>O-00519</t>
  </si>
  <si>
    <t>O-00520</t>
  </si>
  <si>
    <t>O-00521</t>
  </si>
  <si>
    <t>O-00522</t>
  </si>
  <si>
    <t>O-00523</t>
  </si>
  <si>
    <t>O-00524</t>
  </si>
  <si>
    <t>O-00525</t>
  </si>
  <si>
    <t>O-00526</t>
  </si>
  <si>
    <t>O-00527</t>
  </si>
  <si>
    <t>O-00528</t>
  </si>
  <si>
    <t>O-00529</t>
  </si>
  <si>
    <t>O-00530</t>
  </si>
  <si>
    <t>O-00531</t>
  </si>
  <si>
    <t>O-00532</t>
  </si>
  <si>
    <t>O-00533</t>
  </si>
  <si>
    <t>O-00534</t>
  </si>
  <si>
    <t>O-00535</t>
  </si>
  <si>
    <t>O-00536</t>
  </si>
  <si>
    <t>O-00537</t>
  </si>
  <si>
    <t>O-00538</t>
  </si>
  <si>
    <t>O-00539</t>
  </si>
  <si>
    <t>O-00540</t>
  </si>
  <si>
    <t>O-00541</t>
  </si>
  <si>
    <t>O-00542</t>
  </si>
  <si>
    <t>O-00543</t>
  </si>
  <si>
    <t>O-00544</t>
  </si>
  <si>
    <t>O-00545</t>
  </si>
  <si>
    <t>O-00546</t>
  </si>
  <si>
    <t>O-00547</t>
  </si>
  <si>
    <t>O-00548</t>
  </si>
  <si>
    <t>O-00549</t>
  </si>
  <si>
    <t>O-00550</t>
  </si>
  <si>
    <t>O-00551</t>
  </si>
  <si>
    <t>O-00552</t>
  </si>
  <si>
    <t>O-00553</t>
  </si>
  <si>
    <t>O-00554</t>
  </si>
  <si>
    <t>O-00555</t>
  </si>
  <si>
    <t>O-00556</t>
  </si>
  <si>
    <t>O-00557</t>
  </si>
  <si>
    <t>O-00558</t>
  </si>
  <si>
    <t>O-00559</t>
  </si>
  <si>
    <t>O-00560</t>
  </si>
  <si>
    <t>O-00561</t>
  </si>
  <si>
    <t>O-00562</t>
  </si>
  <si>
    <t>O-00563</t>
  </si>
  <si>
    <t>O-00564</t>
  </si>
  <si>
    <t>O-00565</t>
  </si>
  <si>
    <t>O-00566</t>
  </si>
  <si>
    <t>O-00567</t>
  </si>
  <si>
    <t>O-00568</t>
  </si>
  <si>
    <t>O-00569</t>
  </si>
  <si>
    <t>O-00570</t>
  </si>
  <si>
    <t>O-00571</t>
  </si>
  <si>
    <t>O-00572</t>
  </si>
  <si>
    <t>O-00573</t>
  </si>
  <si>
    <t>O-00574</t>
  </si>
  <si>
    <t>O-00575</t>
  </si>
  <si>
    <t>O-00576</t>
  </si>
  <si>
    <t>O-00577</t>
  </si>
  <si>
    <t>O-00578</t>
  </si>
  <si>
    <t>O-00579</t>
  </si>
  <si>
    <t>O-00580</t>
  </si>
  <si>
    <t>O-00581</t>
  </si>
  <si>
    <t>O-00582</t>
  </si>
  <si>
    <t>O-00583</t>
  </si>
  <si>
    <t>O-00584</t>
  </si>
  <si>
    <t>O-00585</t>
  </si>
  <si>
    <t>O-00586</t>
  </si>
  <si>
    <t>O-00587</t>
  </si>
  <si>
    <t>O-00588</t>
  </si>
  <si>
    <t>O-00589</t>
  </si>
  <si>
    <t>O-00590</t>
  </si>
  <si>
    <t>O-00591</t>
  </si>
  <si>
    <t>O-00592</t>
  </si>
  <si>
    <t>O-00593</t>
  </si>
  <si>
    <t>O-00594</t>
  </si>
  <si>
    <t>O-00595</t>
  </si>
  <si>
    <t>O-00596</t>
  </si>
  <si>
    <t>O-00597</t>
  </si>
  <si>
    <t>O-00598</t>
  </si>
  <si>
    <t>O-00599</t>
  </si>
  <si>
    <t>O-00600</t>
  </si>
  <si>
    <t>O-00601</t>
  </si>
  <si>
    <t>O-00602</t>
  </si>
  <si>
    <t>O-00603</t>
  </si>
  <si>
    <t>O-00604</t>
  </si>
  <si>
    <t>O-00605</t>
  </si>
  <si>
    <t>O-00606</t>
  </si>
  <si>
    <t>O-00607</t>
  </si>
  <si>
    <t>O-00608</t>
  </si>
  <si>
    <t>O-00609</t>
  </si>
  <si>
    <t>O-00610</t>
  </si>
  <si>
    <t>O-00611</t>
  </si>
  <si>
    <t>O-00612</t>
  </si>
  <si>
    <t>O-00613</t>
  </si>
  <si>
    <t>O-00614</t>
  </si>
  <si>
    <t>O-00615</t>
  </si>
  <si>
    <t>O-00616</t>
  </si>
  <si>
    <t>O-00617</t>
  </si>
  <si>
    <t>O-00618</t>
  </si>
  <si>
    <t>O-00619</t>
  </si>
  <si>
    <t>O-00620</t>
  </si>
  <si>
    <t>O-00621</t>
  </si>
  <si>
    <t>O-00622</t>
  </si>
  <si>
    <t>O-00623</t>
  </si>
  <si>
    <t>O-00624</t>
  </si>
  <si>
    <t>O-00625</t>
  </si>
  <si>
    <t>O-00626</t>
  </si>
  <si>
    <t>O-00627</t>
  </si>
  <si>
    <t>O-00628</t>
  </si>
  <si>
    <t>O-00629</t>
  </si>
  <si>
    <t>O-00630</t>
  </si>
  <si>
    <t>O-00631</t>
  </si>
  <si>
    <t>O-00632</t>
  </si>
  <si>
    <t>O-00633</t>
  </si>
  <si>
    <t>O-00634</t>
  </si>
  <si>
    <t>O-00635</t>
  </si>
  <si>
    <t>O-00636</t>
  </si>
  <si>
    <t>O-00637</t>
  </si>
  <si>
    <t>O-00638</t>
  </si>
  <si>
    <t>O-00639</t>
  </si>
  <si>
    <t>O-00640</t>
  </si>
  <si>
    <t>O-00641</t>
  </si>
  <si>
    <t>O-00642</t>
  </si>
  <si>
    <t>O-00643</t>
  </si>
  <si>
    <t>O-00644</t>
  </si>
  <si>
    <t>O-00645</t>
  </si>
  <si>
    <t>O-00646</t>
  </si>
  <si>
    <t>O-00647</t>
  </si>
  <si>
    <t>O-00648</t>
  </si>
  <si>
    <t>O-00649</t>
  </si>
  <si>
    <t>O-00650</t>
  </si>
  <si>
    <t>O-00651</t>
  </si>
  <si>
    <t>O-00652</t>
  </si>
  <si>
    <t>O-00653</t>
  </si>
  <si>
    <t>O-00654</t>
  </si>
  <si>
    <t>O-00655</t>
  </si>
  <si>
    <t>O-00656</t>
  </si>
  <si>
    <t>O-00657</t>
  </si>
  <si>
    <t>O-00658</t>
  </si>
  <si>
    <t>O-00659</t>
  </si>
  <si>
    <t>O-00660</t>
  </si>
  <si>
    <t>O-00661</t>
  </si>
  <si>
    <t>O-00662</t>
  </si>
  <si>
    <t>O-00663</t>
  </si>
  <si>
    <t>O-00664</t>
  </si>
  <si>
    <t>O-00665</t>
  </si>
  <si>
    <t>O-00666</t>
  </si>
  <si>
    <t>O-00667</t>
  </si>
  <si>
    <t>O-00668</t>
  </si>
  <si>
    <t>O-00669</t>
  </si>
  <si>
    <t>O-00670</t>
  </si>
  <si>
    <t>O-00671</t>
  </si>
  <si>
    <t>O-00672</t>
  </si>
  <si>
    <t>O-00673</t>
  </si>
  <si>
    <t>O-00674</t>
  </si>
  <si>
    <t>O-00675</t>
  </si>
  <si>
    <t>O-00676</t>
  </si>
  <si>
    <t>O-00677</t>
  </si>
  <si>
    <t>O-00678</t>
  </si>
  <si>
    <t>O-00679</t>
  </si>
  <si>
    <t>O-00680</t>
  </si>
  <si>
    <t>O-00681</t>
  </si>
  <si>
    <t>O-00682</t>
  </si>
  <si>
    <t>O-00683</t>
  </si>
  <si>
    <t>O-00684</t>
  </si>
  <si>
    <t>O-00685</t>
  </si>
  <si>
    <t>O-00686</t>
  </si>
  <si>
    <t>O-00687</t>
  </si>
  <si>
    <t>O-00688</t>
  </si>
  <si>
    <t>O-00689</t>
  </si>
  <si>
    <t>O-00690</t>
  </si>
  <si>
    <t>O-00691</t>
  </si>
  <si>
    <t>O-00692</t>
  </si>
  <si>
    <t>O-00693</t>
  </si>
  <si>
    <t>O-00694</t>
  </si>
  <si>
    <t>O-00695</t>
  </si>
  <si>
    <t>O-00696</t>
  </si>
  <si>
    <t>O-00697</t>
  </si>
  <si>
    <t>O-00698</t>
  </si>
  <si>
    <t>O-00699</t>
  </si>
  <si>
    <t>O-00700</t>
  </si>
  <si>
    <t>O-00701</t>
  </si>
  <si>
    <t>O-00702</t>
  </si>
  <si>
    <t>O-00703</t>
  </si>
  <si>
    <t>O-00704</t>
  </si>
  <si>
    <t>O-00705</t>
  </si>
  <si>
    <t>O-00706</t>
  </si>
  <si>
    <t>O-00707</t>
  </si>
  <si>
    <t>O-00708</t>
  </si>
  <si>
    <t>O-00709</t>
  </si>
  <si>
    <t>O-00710</t>
  </si>
  <si>
    <t>O-00711</t>
  </si>
  <si>
    <t>O-00712</t>
  </si>
  <si>
    <t>O-00713</t>
  </si>
  <si>
    <t>O-00714</t>
  </si>
  <si>
    <t>O-00715</t>
  </si>
  <si>
    <t>O-00716</t>
  </si>
  <si>
    <t>O-00717</t>
  </si>
  <si>
    <t>O-00718</t>
  </si>
  <si>
    <t>O-00719</t>
  </si>
  <si>
    <t>O-00720</t>
  </si>
  <si>
    <t>O-00721</t>
  </si>
  <si>
    <t>O-00722</t>
  </si>
  <si>
    <t>O-00723</t>
  </si>
  <si>
    <t>O-00724</t>
  </si>
  <si>
    <t>O-00725</t>
  </si>
  <si>
    <t>O-00726</t>
  </si>
  <si>
    <t>O-00727</t>
  </si>
  <si>
    <t>O-00728</t>
  </si>
  <si>
    <t>O-00729</t>
  </si>
  <si>
    <t>O-00730</t>
  </si>
  <si>
    <t>O-00731</t>
  </si>
  <si>
    <t>O-00732</t>
  </si>
  <si>
    <t>O-00733</t>
  </si>
  <si>
    <t>O-00734</t>
  </si>
  <si>
    <t>O-00735</t>
  </si>
  <si>
    <t>O-00736</t>
  </si>
  <si>
    <t>O-00737</t>
  </si>
  <si>
    <t>O-00738</t>
  </si>
  <si>
    <t>O-00739</t>
  </si>
  <si>
    <t>O-00740</t>
  </si>
  <si>
    <t>O-00741</t>
  </si>
  <si>
    <t>O-00742</t>
  </si>
  <si>
    <t>O-00743</t>
  </si>
  <si>
    <t>O-00744</t>
  </si>
  <si>
    <t>O-00745</t>
  </si>
  <si>
    <t>O-00746</t>
  </si>
  <si>
    <t>O-00747</t>
  </si>
  <si>
    <t>O-00748</t>
  </si>
  <si>
    <t>O-00749</t>
  </si>
  <si>
    <t>O-00750</t>
  </si>
  <si>
    <t>O-00751</t>
  </si>
  <si>
    <t>O-00752</t>
  </si>
  <si>
    <t>O-00753</t>
  </si>
  <si>
    <t>O-00754</t>
  </si>
  <si>
    <t>O-00755</t>
  </si>
  <si>
    <t>O-00756</t>
  </si>
  <si>
    <t>O-00757</t>
  </si>
  <si>
    <t>O-00758</t>
  </si>
  <si>
    <t>O-00759</t>
  </si>
  <si>
    <t>O-00760</t>
  </si>
  <si>
    <t>O-00761</t>
  </si>
  <si>
    <t>O-00762</t>
  </si>
  <si>
    <t>O-00763</t>
  </si>
  <si>
    <t>O-00764</t>
  </si>
  <si>
    <t>O-00765</t>
  </si>
  <si>
    <t>O-00766</t>
  </si>
  <si>
    <t>O-00767</t>
  </si>
  <si>
    <t>O-00768</t>
  </si>
  <si>
    <t>O-00769</t>
  </si>
  <si>
    <t>O-00770</t>
  </si>
  <si>
    <t>O-00771</t>
  </si>
  <si>
    <t>O-00772</t>
  </si>
  <si>
    <t>O-00773</t>
  </si>
  <si>
    <t>O-00774</t>
  </si>
  <si>
    <t>O-00775</t>
  </si>
  <si>
    <t>O-00776</t>
  </si>
  <si>
    <t>O-00777</t>
  </si>
  <si>
    <t>O-00778</t>
  </si>
  <si>
    <t>O-00779</t>
  </si>
  <si>
    <t>O-00780</t>
  </si>
  <si>
    <t>O-00781</t>
  </si>
  <si>
    <t>O-00782</t>
  </si>
  <si>
    <t>O-00783</t>
  </si>
  <si>
    <t>O-00784</t>
  </si>
  <si>
    <t>O-00785</t>
  </si>
  <si>
    <t>O-00786</t>
  </si>
  <si>
    <t>O-00787</t>
  </si>
  <si>
    <t>O-00788</t>
  </si>
  <si>
    <t>O-00789</t>
  </si>
  <si>
    <t>O-00790</t>
  </si>
  <si>
    <t>O-00791</t>
  </si>
  <si>
    <t>O-00792</t>
  </si>
  <si>
    <t>O-00793</t>
  </si>
  <si>
    <t>O-00794</t>
  </si>
  <si>
    <t>O-00795</t>
  </si>
  <si>
    <t>O-00796</t>
  </si>
  <si>
    <t>O-00797</t>
  </si>
  <si>
    <t>O-00798</t>
  </si>
  <si>
    <t>O-00799</t>
  </si>
  <si>
    <t>O-00800</t>
  </si>
  <si>
    <t>O-00801</t>
  </si>
  <si>
    <t>O-00802</t>
  </si>
  <si>
    <t>O-00803</t>
  </si>
  <si>
    <t>O-00804</t>
  </si>
  <si>
    <t>O-00805</t>
  </si>
  <si>
    <t>O-00806</t>
  </si>
  <si>
    <t>O-00807</t>
  </si>
  <si>
    <t>O-00808</t>
  </si>
  <si>
    <t>O-00809</t>
  </si>
  <si>
    <t>O-00810</t>
  </si>
  <si>
    <t>O-00811</t>
  </si>
  <si>
    <t>O-00812</t>
  </si>
  <si>
    <t>O-00813</t>
  </si>
  <si>
    <t>O-00814</t>
  </si>
  <si>
    <t>O-00815</t>
  </si>
  <si>
    <t>O-00816</t>
  </si>
  <si>
    <t>O-00817</t>
  </si>
  <si>
    <t>O-00818</t>
  </si>
  <si>
    <t>O-00819</t>
  </si>
  <si>
    <t>O-00820</t>
  </si>
  <si>
    <t>O-00821</t>
  </si>
  <si>
    <t>O-00822</t>
  </si>
  <si>
    <t>O-00823</t>
  </si>
  <si>
    <t>O-00824</t>
  </si>
  <si>
    <t>O-00825</t>
  </si>
  <si>
    <t>O-00826</t>
  </si>
  <si>
    <t>O-00827</t>
  </si>
  <si>
    <t>O-00828</t>
  </si>
  <si>
    <t>O-00829</t>
  </si>
  <si>
    <t>O-00830</t>
  </si>
  <si>
    <t>O-00831</t>
  </si>
  <si>
    <t>O-00832</t>
  </si>
  <si>
    <t>O-00833</t>
  </si>
  <si>
    <t>O-00834</t>
  </si>
  <si>
    <t>O-00835</t>
  </si>
  <si>
    <t>O-00836</t>
  </si>
  <si>
    <t>O-00837</t>
  </si>
  <si>
    <t>O-00838</t>
  </si>
  <si>
    <t>O-00839</t>
  </si>
  <si>
    <t>O-00840</t>
  </si>
  <si>
    <t>O-00841</t>
  </si>
  <si>
    <t>O-00842</t>
  </si>
  <si>
    <t>O-00843</t>
  </si>
  <si>
    <t>O-00844</t>
  </si>
  <si>
    <t>O-00845</t>
  </si>
  <si>
    <t>O-00846</t>
  </si>
  <si>
    <t>O-00847</t>
  </si>
  <si>
    <t>O-00848</t>
  </si>
  <si>
    <t>O-00849</t>
  </si>
  <si>
    <t>O-00850</t>
  </si>
  <si>
    <t>O-00851</t>
  </si>
  <si>
    <t>O-00852</t>
  </si>
  <si>
    <t>O-00853</t>
  </si>
  <si>
    <t>O-00854</t>
  </si>
  <si>
    <t>O-00855</t>
  </si>
  <si>
    <t>O-00856</t>
  </si>
  <si>
    <t>O-00857</t>
  </si>
  <si>
    <t>O-00858</t>
  </si>
  <si>
    <t>O-00859</t>
  </si>
  <si>
    <t>O-00860</t>
  </si>
  <si>
    <t>O-00861</t>
  </si>
  <si>
    <t>O-00862</t>
  </si>
  <si>
    <t>O-00863</t>
  </si>
  <si>
    <t>O-00864</t>
  </si>
  <si>
    <t>O-00865</t>
  </si>
  <si>
    <t>O-00866</t>
  </si>
  <si>
    <t>O-00867</t>
  </si>
  <si>
    <t>O-00868</t>
  </si>
  <si>
    <t>O-00869</t>
  </si>
  <si>
    <t>O-00870</t>
  </si>
  <si>
    <t>O-00871</t>
  </si>
  <si>
    <t>O-00872</t>
  </si>
  <si>
    <t>O-00873</t>
  </si>
  <si>
    <t>O-00874</t>
  </si>
  <si>
    <t>O-00875</t>
  </si>
  <si>
    <t>O-00876</t>
  </si>
  <si>
    <t>O-00877</t>
  </si>
  <si>
    <t>O-00878</t>
  </si>
  <si>
    <t>O-00879</t>
  </si>
  <si>
    <t>O-00880</t>
  </si>
  <si>
    <t>O-00881</t>
  </si>
  <si>
    <t>O-00882</t>
  </si>
  <si>
    <t>O-00883</t>
  </si>
  <si>
    <t>O-00884</t>
  </si>
  <si>
    <t>O-00885</t>
  </si>
  <si>
    <t>O-00886</t>
  </si>
  <si>
    <t>O-00887</t>
  </si>
  <si>
    <t>O-00888</t>
  </si>
  <si>
    <t>O-00889</t>
  </si>
  <si>
    <t>O-00890</t>
  </si>
  <si>
    <t>O-00891</t>
  </si>
  <si>
    <t>O-00892</t>
  </si>
  <si>
    <t>O-00893</t>
  </si>
  <si>
    <t>O-00894</t>
  </si>
  <si>
    <t>O-00895</t>
  </si>
  <si>
    <t>O-00896</t>
  </si>
  <si>
    <t>O-00897</t>
  </si>
  <si>
    <t>O-00898</t>
  </si>
  <si>
    <t>O-00899</t>
  </si>
  <si>
    <t>O-00900</t>
  </si>
  <si>
    <t>O-00901</t>
  </si>
  <si>
    <t>O-00902</t>
  </si>
  <si>
    <t>O-00903</t>
  </si>
  <si>
    <t>O-00904</t>
  </si>
  <si>
    <t>O-00905</t>
  </si>
  <si>
    <t>O-00906</t>
  </si>
  <si>
    <t>O-00907</t>
  </si>
  <si>
    <t>O-00908</t>
  </si>
  <si>
    <t>O-00909</t>
  </si>
  <si>
    <t>O-00910</t>
  </si>
  <si>
    <t>O-00911</t>
  </si>
  <si>
    <t>O-00912</t>
  </si>
  <si>
    <t>O-00913</t>
  </si>
  <si>
    <t>O-00914</t>
  </si>
  <si>
    <t>O-00915</t>
  </si>
  <si>
    <t>O-00916</t>
  </si>
  <si>
    <t>O-00917</t>
  </si>
  <si>
    <t>O-00918</t>
  </si>
  <si>
    <t>O-00919</t>
  </si>
  <si>
    <t>O-00920</t>
  </si>
  <si>
    <t>O-00921</t>
  </si>
  <si>
    <t>O-00922</t>
  </si>
  <si>
    <t>O-00923</t>
  </si>
  <si>
    <t>O-00924</t>
  </si>
  <si>
    <t>O-00925</t>
  </si>
  <si>
    <t>O-00926</t>
  </si>
  <si>
    <t>O-00927</t>
  </si>
  <si>
    <t>O-00928</t>
  </si>
  <si>
    <t>O-00929</t>
  </si>
  <si>
    <t>O-00930</t>
  </si>
  <si>
    <t>O-00931</t>
  </si>
  <si>
    <t>O-00932</t>
  </si>
  <si>
    <t>O-00933</t>
  </si>
  <si>
    <t>O-00934</t>
  </si>
  <si>
    <t>O-00935</t>
  </si>
  <si>
    <t>O-00936</t>
  </si>
  <si>
    <t>O-00937</t>
  </si>
  <si>
    <t>O-00938</t>
  </si>
  <si>
    <t>O-00939</t>
  </si>
  <si>
    <t>O-00940</t>
  </si>
  <si>
    <t>O-00941</t>
  </si>
  <si>
    <t>O-00942</t>
  </si>
  <si>
    <t>O-00943</t>
  </si>
  <si>
    <t>O-00944</t>
  </si>
  <si>
    <t>O-00945</t>
  </si>
  <si>
    <t>O-00946</t>
  </si>
  <si>
    <t>O-00947</t>
  </si>
  <si>
    <t>O-00948</t>
  </si>
  <si>
    <t>O-00949</t>
  </si>
  <si>
    <t>O-00950</t>
  </si>
  <si>
    <t>O-00951</t>
  </si>
  <si>
    <t>O-00952</t>
  </si>
  <si>
    <t>O-00953</t>
  </si>
  <si>
    <t>O-00954</t>
  </si>
  <si>
    <t>O-00955</t>
  </si>
  <si>
    <t>O-00956</t>
  </si>
  <si>
    <t>O-00957</t>
  </si>
  <si>
    <t>O-00958</t>
  </si>
  <si>
    <t>O-00959</t>
  </si>
  <si>
    <t>O-00960</t>
  </si>
  <si>
    <t>O-00961</t>
  </si>
  <si>
    <t>O-00962</t>
  </si>
  <si>
    <t>O-00963</t>
  </si>
  <si>
    <t>O-00964</t>
  </si>
  <si>
    <t>O-00965</t>
  </si>
  <si>
    <t>O-00966</t>
  </si>
  <si>
    <t>O-00967</t>
  </si>
  <si>
    <t>O-00968</t>
  </si>
  <si>
    <t>O-00969</t>
  </si>
  <si>
    <t>O-00970</t>
  </si>
  <si>
    <t>O-00971</t>
  </si>
  <si>
    <t>O-00972</t>
  </si>
  <si>
    <t>O-00973</t>
  </si>
  <si>
    <t>O-00974</t>
  </si>
  <si>
    <t>O-00975</t>
  </si>
  <si>
    <t>O-00976</t>
  </si>
  <si>
    <t>O-00977</t>
  </si>
  <si>
    <t>O-00978</t>
  </si>
  <si>
    <t>O-00979</t>
  </si>
  <si>
    <t>O-00980</t>
  </si>
  <si>
    <t>O-00981</t>
  </si>
  <si>
    <t>O-00982</t>
  </si>
  <si>
    <t>O-00983</t>
  </si>
  <si>
    <t>O-00984</t>
  </si>
  <si>
    <t>O-00985</t>
  </si>
  <si>
    <t>O-00986</t>
  </si>
  <si>
    <t>O-00987</t>
  </si>
  <si>
    <t>O-00988</t>
  </si>
  <si>
    <t>O-00989</t>
  </si>
  <si>
    <t>O-00990</t>
  </si>
  <si>
    <t>O-00991</t>
  </si>
  <si>
    <t>O-00992</t>
  </si>
  <si>
    <t>O-00993</t>
  </si>
  <si>
    <t>O-00994</t>
  </si>
  <si>
    <t>O-00995</t>
  </si>
  <si>
    <t>O-00996</t>
  </si>
  <si>
    <t>O-00997</t>
  </si>
  <si>
    <t>O-00998</t>
  </si>
  <si>
    <t>O-00999</t>
  </si>
  <si>
    <t>O-01000</t>
  </si>
  <si>
    <t>O-01001</t>
  </si>
  <si>
    <t>O-01002</t>
  </si>
  <si>
    <t>O-01003</t>
  </si>
  <si>
    <t>O-01004</t>
  </si>
  <si>
    <t>O-01005</t>
  </si>
  <si>
    <t>O-01006</t>
  </si>
  <si>
    <t>O-01007</t>
  </si>
  <si>
    <t>O-01008</t>
  </si>
  <si>
    <t>O-01009</t>
  </si>
  <si>
    <t>O-01010</t>
  </si>
  <si>
    <t>O-01011</t>
  </si>
  <si>
    <t>O-01012</t>
  </si>
  <si>
    <t>O-01013</t>
  </si>
  <si>
    <t>O-01014</t>
  </si>
  <si>
    <t>O-01015</t>
  </si>
  <si>
    <t>O-01016</t>
  </si>
  <si>
    <t>O-01017</t>
  </si>
  <si>
    <t>O-01018</t>
  </si>
  <si>
    <t>O-01019</t>
  </si>
  <si>
    <t>O-01020</t>
  </si>
  <si>
    <t>O-01021</t>
  </si>
  <si>
    <t>O-01022</t>
  </si>
  <si>
    <t>O-01023</t>
  </si>
  <si>
    <t>O-01024</t>
  </si>
  <si>
    <t>O-01025</t>
  </si>
  <si>
    <t>O-01026</t>
  </si>
  <si>
    <t>O-01027</t>
  </si>
  <si>
    <t>O-01028</t>
  </si>
  <si>
    <t>O-01029</t>
  </si>
  <si>
    <t>O-01030</t>
  </si>
  <si>
    <t>O-01031</t>
  </si>
  <si>
    <t>O-01032</t>
  </si>
  <si>
    <t>O-01033</t>
  </si>
  <si>
    <t>O-01034</t>
  </si>
  <si>
    <t>O-01035</t>
  </si>
  <si>
    <t>O-01036</t>
  </si>
  <si>
    <t>O-01037</t>
  </si>
  <si>
    <t>O-01038</t>
  </si>
  <si>
    <t>O-01039</t>
  </si>
  <si>
    <t>O-01040</t>
  </si>
  <si>
    <t>O-01041</t>
  </si>
  <si>
    <t>O-01042</t>
  </si>
  <si>
    <t>O-01043</t>
  </si>
  <si>
    <t>O-01044</t>
  </si>
  <si>
    <t>O-01045</t>
  </si>
  <si>
    <t>O-01046</t>
  </si>
  <si>
    <t>O-01047</t>
  </si>
  <si>
    <t>O-01048</t>
  </si>
  <si>
    <t>O-01049</t>
  </si>
  <si>
    <t>O-01050</t>
  </si>
  <si>
    <t>O-01051</t>
  </si>
  <si>
    <t>O-01052</t>
  </si>
  <si>
    <t>O-01053</t>
  </si>
  <si>
    <t>O-01054</t>
  </si>
  <si>
    <t>O-01055</t>
  </si>
  <si>
    <t>O-01056</t>
  </si>
  <si>
    <t>O-01057</t>
  </si>
  <si>
    <t>O-01058</t>
  </si>
  <si>
    <t>O-01059</t>
  </si>
  <si>
    <t>O-01060</t>
  </si>
  <si>
    <t>O-01061</t>
  </si>
  <si>
    <t>O-01062</t>
  </si>
  <si>
    <t>O-01063</t>
  </si>
  <si>
    <t>O-01064</t>
  </si>
  <si>
    <t>O-01065</t>
  </si>
  <si>
    <t>O-01066</t>
  </si>
  <si>
    <t>O-01067</t>
  </si>
  <si>
    <t>O-01068</t>
  </si>
  <si>
    <t>O-01069</t>
  </si>
  <si>
    <t>O-01070</t>
  </si>
  <si>
    <t>O-01071</t>
  </si>
  <si>
    <t>O-01072</t>
  </si>
  <si>
    <t>O-01073</t>
  </si>
  <si>
    <t>O-01074</t>
  </si>
  <si>
    <t>O-01075</t>
  </si>
  <si>
    <t>O-01076</t>
  </si>
  <si>
    <t>O-01077</t>
  </si>
  <si>
    <t>O-01078</t>
  </si>
  <si>
    <t>O-01079</t>
  </si>
  <si>
    <t>O-01080</t>
  </si>
  <si>
    <t>O-01081</t>
  </si>
  <si>
    <t>O-01082</t>
  </si>
  <si>
    <t>O-01083</t>
  </si>
  <si>
    <t>O-01084</t>
  </si>
  <si>
    <t>O-01085</t>
  </si>
  <si>
    <t>O-01086</t>
  </si>
  <si>
    <t>O-01087</t>
  </si>
  <si>
    <t>O-01088</t>
  </si>
  <si>
    <t>O-01089</t>
  </si>
  <si>
    <t>O-01090</t>
  </si>
  <si>
    <t>O-01091</t>
  </si>
  <si>
    <t>O-01092</t>
  </si>
  <si>
    <t>O-01093</t>
  </si>
  <si>
    <t>O-01094</t>
  </si>
  <si>
    <t>O-01095</t>
  </si>
  <si>
    <t>O-01096</t>
  </si>
  <si>
    <t>O-01097</t>
  </si>
  <si>
    <t>O-01098</t>
  </si>
  <si>
    <t>O-01099</t>
  </si>
  <si>
    <t>O-01100</t>
  </si>
  <si>
    <t>O-01101</t>
  </si>
  <si>
    <t>O-01102</t>
  </si>
  <si>
    <t>O-01103</t>
  </si>
  <si>
    <t>O-01104</t>
  </si>
  <si>
    <t>O-01105</t>
  </si>
  <si>
    <t>O-01106</t>
  </si>
  <si>
    <t>O-01107</t>
  </si>
  <si>
    <t>O-01108</t>
  </si>
  <si>
    <t>O-01109</t>
  </si>
  <si>
    <t>O-01110</t>
  </si>
  <si>
    <t>O-01111</t>
  </si>
  <si>
    <t>O-01112</t>
  </si>
  <si>
    <t>O-01113</t>
  </si>
  <si>
    <t>O-01114</t>
  </si>
  <si>
    <t>O-01115</t>
  </si>
  <si>
    <t>O-01116</t>
  </si>
  <si>
    <t>O-01117</t>
  </si>
  <si>
    <t>O-01118</t>
  </si>
  <si>
    <t>O-01119</t>
  </si>
  <si>
    <t>O-01120</t>
  </si>
  <si>
    <t>O-01121</t>
  </si>
  <si>
    <t>O-01122</t>
  </si>
  <si>
    <t>O-01123</t>
  </si>
  <si>
    <t>O-01124</t>
  </si>
  <si>
    <t>O-01125</t>
  </si>
  <si>
    <t>O-01126</t>
  </si>
  <si>
    <t>O-01127</t>
  </si>
  <si>
    <t>O-01128</t>
  </si>
  <si>
    <t>O-01129</t>
  </si>
  <si>
    <t>O-01130</t>
  </si>
  <si>
    <t>O-01131</t>
  </si>
  <si>
    <t>O-01132</t>
  </si>
  <si>
    <t>O-01133</t>
  </si>
  <si>
    <t>O-01134</t>
  </si>
  <si>
    <t>O-01135</t>
  </si>
  <si>
    <t>O-01136</t>
  </si>
  <si>
    <t>O-01137</t>
  </si>
  <si>
    <t>O-01138</t>
  </si>
  <si>
    <t>O-01139</t>
  </si>
  <si>
    <t>O-01140</t>
  </si>
  <si>
    <t>O-01141</t>
  </si>
  <si>
    <t>O-01142</t>
  </si>
  <si>
    <t>O-01143</t>
  </si>
  <si>
    <t>O-01144</t>
  </si>
  <si>
    <t>O-01145</t>
  </si>
  <si>
    <t>O-01146</t>
  </si>
  <si>
    <t>O-01147</t>
  </si>
  <si>
    <t>O-01148</t>
  </si>
  <si>
    <t>O-01149</t>
  </si>
  <si>
    <t>O-01150</t>
  </si>
  <si>
    <t>O-01151</t>
  </si>
  <si>
    <t>O-01152</t>
  </si>
  <si>
    <t>O-01153</t>
  </si>
  <si>
    <t>O-01154</t>
  </si>
  <si>
    <t>O-01155</t>
  </si>
  <si>
    <t>O-01156</t>
  </si>
  <si>
    <t>O-01157</t>
  </si>
  <si>
    <t>O-01158</t>
  </si>
  <si>
    <t>O-01159</t>
  </si>
  <si>
    <t>O-01160</t>
  </si>
  <si>
    <t>O-01161</t>
  </si>
  <si>
    <t>O-01162</t>
  </si>
  <si>
    <t>O-01163</t>
  </si>
  <si>
    <t>O-01164</t>
  </si>
  <si>
    <t>O-01165</t>
  </si>
  <si>
    <t>O-01166</t>
  </si>
  <si>
    <t>O-01167</t>
  </si>
  <si>
    <t>O-01168</t>
  </si>
  <si>
    <t>O-01169</t>
  </si>
  <si>
    <t>O-01170</t>
  </si>
  <si>
    <t>O-01171</t>
  </si>
  <si>
    <t>O-01172</t>
  </si>
  <si>
    <t>O-01173</t>
  </si>
  <si>
    <t>O-01174</t>
  </si>
  <si>
    <t>O-01175</t>
  </si>
  <si>
    <t>O-01176</t>
  </si>
  <si>
    <t>O-01177</t>
  </si>
  <si>
    <t>O-01178</t>
  </si>
  <si>
    <t>O-01179</t>
  </si>
  <si>
    <t>O-01180</t>
  </si>
  <si>
    <t>O-01181</t>
  </si>
  <si>
    <t>O-01182</t>
  </si>
  <si>
    <t>O-01183</t>
  </si>
  <si>
    <t>O-01184</t>
  </si>
  <si>
    <t>O-01185</t>
  </si>
  <si>
    <t>O-01186</t>
  </si>
  <si>
    <t>O-01187</t>
  </si>
  <si>
    <t>O-01188</t>
  </si>
  <si>
    <t>O-01189</t>
  </si>
  <si>
    <t>O-01190</t>
  </si>
  <si>
    <t>O-01191</t>
  </si>
  <si>
    <t>O-01192</t>
  </si>
  <si>
    <t>O-01193</t>
  </si>
  <si>
    <t>O-01194</t>
  </si>
  <si>
    <t>O-01195</t>
  </si>
  <si>
    <t>O-01196</t>
  </si>
  <si>
    <t>O-01197</t>
  </si>
  <si>
    <t>O-01198</t>
  </si>
  <si>
    <t>O-01199</t>
  </si>
  <si>
    <t>O-01200</t>
  </si>
  <si>
    <t>O-01201</t>
  </si>
  <si>
    <t>O-01202</t>
  </si>
  <si>
    <t>O-01203</t>
  </si>
  <si>
    <t>O-01204</t>
  </si>
  <si>
    <t>O-01205</t>
  </si>
  <si>
    <t>O-01206</t>
  </si>
  <si>
    <t>O-01207</t>
  </si>
  <si>
    <t>O-01208</t>
  </si>
  <si>
    <t>O-01209</t>
  </si>
  <si>
    <t>O-01210</t>
  </si>
  <si>
    <t>O-01211</t>
  </si>
  <si>
    <t>O-01212</t>
  </si>
  <si>
    <t>O-01213</t>
  </si>
  <si>
    <t>O-01214</t>
  </si>
  <si>
    <t>O-01215</t>
  </si>
  <si>
    <t>O-01216</t>
  </si>
  <si>
    <t>O-01217</t>
  </si>
  <si>
    <t>O-01218</t>
  </si>
  <si>
    <t>O-01219</t>
  </si>
  <si>
    <t>O-01220</t>
  </si>
  <si>
    <t>O-01221</t>
  </si>
  <si>
    <t>O-01222</t>
  </si>
  <si>
    <t>O-01223</t>
  </si>
  <si>
    <t>O-01224</t>
  </si>
  <si>
    <t>O-01225</t>
  </si>
  <si>
    <t>O-01226</t>
  </si>
  <si>
    <t>O-01227</t>
  </si>
  <si>
    <t>O-01228</t>
  </si>
  <si>
    <t>O-01229</t>
  </si>
  <si>
    <t>O-01230</t>
  </si>
  <si>
    <t>O-01231</t>
  </si>
  <si>
    <t>O-01232</t>
  </si>
  <si>
    <t>O-01233</t>
  </si>
  <si>
    <t>O-01234</t>
  </si>
  <si>
    <t>O-01235</t>
  </si>
  <si>
    <t>O-01236</t>
  </si>
  <si>
    <t>O-01237</t>
  </si>
  <si>
    <t>O-01238</t>
  </si>
  <si>
    <t>O-01239</t>
  </si>
  <si>
    <t>O-01240</t>
  </si>
  <si>
    <t>O-01241</t>
  </si>
  <si>
    <t>O-01242</t>
  </si>
  <si>
    <t>O-01243</t>
  </si>
  <si>
    <t>O-01244</t>
  </si>
  <si>
    <t>O-01245</t>
  </si>
  <si>
    <t>O-01246</t>
  </si>
  <si>
    <t>O-01247</t>
  </si>
  <si>
    <t>O-01248</t>
  </si>
  <si>
    <t>O-01249</t>
  </si>
  <si>
    <t>O-01250</t>
  </si>
  <si>
    <t>O-01251</t>
  </si>
  <si>
    <t>O-01252</t>
  </si>
  <si>
    <t>O-01253</t>
  </si>
  <si>
    <t>O-01254</t>
  </si>
  <si>
    <t>O-01255</t>
  </si>
  <si>
    <t>O-01256</t>
  </si>
  <si>
    <t>O-01257</t>
  </si>
  <si>
    <t>O-01258</t>
  </si>
  <si>
    <t>O-01259</t>
  </si>
  <si>
    <t>O-01260</t>
  </si>
  <si>
    <t>O-01261</t>
  </si>
  <si>
    <t>O-01262</t>
  </si>
  <si>
    <t>O-01263</t>
  </si>
  <si>
    <t>O-01264</t>
  </si>
  <si>
    <t>O-01265</t>
  </si>
  <si>
    <t>O-01266</t>
  </si>
  <si>
    <t>O-01267</t>
  </si>
  <si>
    <t>O-01268</t>
  </si>
  <si>
    <t>O-01269</t>
  </si>
  <si>
    <t>O-01270</t>
  </si>
  <si>
    <t>O-01271</t>
  </si>
  <si>
    <t>O-01272</t>
  </si>
  <si>
    <t>O-01273</t>
  </si>
  <si>
    <t>O-01274</t>
  </si>
  <si>
    <t>O-01275</t>
  </si>
  <si>
    <t>O-01276</t>
  </si>
  <si>
    <t>O-01277</t>
  </si>
  <si>
    <t>O-01278</t>
  </si>
  <si>
    <t>O-01279</t>
  </si>
  <si>
    <t>O-01280</t>
  </si>
  <si>
    <t>O-01281</t>
  </si>
  <si>
    <t>O-01282</t>
  </si>
  <si>
    <t>O-01283</t>
  </si>
  <si>
    <t>O-01284</t>
  </si>
  <si>
    <t>O-01285</t>
  </si>
  <si>
    <t>O-01286</t>
  </si>
  <si>
    <t>O-01287</t>
  </si>
  <si>
    <t>O-01288</t>
  </si>
  <si>
    <t>O-01289</t>
  </si>
  <si>
    <t>O-01290</t>
  </si>
  <si>
    <t>O-01291</t>
  </si>
  <si>
    <t>O-01292</t>
  </si>
  <si>
    <t>O-01293</t>
  </si>
  <si>
    <t>O-01294</t>
  </si>
  <si>
    <t>O-01295</t>
  </si>
  <si>
    <t>O-01296</t>
  </si>
  <si>
    <t>O-01297</t>
  </si>
  <si>
    <t>O-01298</t>
  </si>
  <si>
    <t>O-01299</t>
  </si>
  <si>
    <t>O-01300</t>
  </si>
  <si>
    <t>O-01301</t>
  </si>
  <si>
    <t>O-01302</t>
  </si>
  <si>
    <t>O-01303</t>
  </si>
  <si>
    <t>O-01304</t>
  </si>
  <si>
    <t>O-01305</t>
  </si>
  <si>
    <t>O-01306</t>
  </si>
  <si>
    <t>O-01307</t>
  </si>
  <si>
    <t>O-01308</t>
  </si>
  <si>
    <t>O-01309</t>
  </si>
  <si>
    <t>O-01310</t>
  </si>
  <si>
    <t>O-01311</t>
  </si>
  <si>
    <t>O-01312</t>
  </si>
  <si>
    <t>O-01313</t>
  </si>
  <si>
    <t>O-01314</t>
  </si>
  <si>
    <t>O-01315</t>
  </si>
  <si>
    <t>O-01316</t>
  </si>
  <si>
    <t>O-01317</t>
  </si>
  <si>
    <t>O-01318</t>
  </si>
  <si>
    <t>O-01319</t>
  </si>
  <si>
    <t>O-01320</t>
  </si>
  <si>
    <t>O-01321</t>
  </si>
  <si>
    <t>O-01322</t>
  </si>
  <si>
    <t>O-01323</t>
  </si>
  <si>
    <t>O-01324</t>
  </si>
  <si>
    <t>O-01325</t>
  </si>
  <si>
    <t>O-01326</t>
  </si>
  <si>
    <t>O-01327</t>
  </si>
  <si>
    <t>O-01328</t>
  </si>
  <si>
    <t>O-01329</t>
  </si>
  <si>
    <t>O-01330</t>
  </si>
  <si>
    <t>O-01331</t>
  </si>
  <si>
    <t>O-01332</t>
  </si>
  <si>
    <t>O-01333</t>
  </si>
  <si>
    <t>O-01334</t>
  </si>
  <si>
    <t>O-01335</t>
  </si>
  <si>
    <t>O-01336</t>
  </si>
  <si>
    <t>O-01337</t>
  </si>
  <si>
    <t>O-01338</t>
  </si>
  <si>
    <t>O-01339</t>
  </si>
  <si>
    <t>O-01340</t>
  </si>
  <si>
    <t>O-01341</t>
  </si>
  <si>
    <t>O-01342</t>
  </si>
  <si>
    <t>O-01343</t>
  </si>
  <si>
    <t>O-01344</t>
  </si>
  <si>
    <t>O-01345</t>
  </si>
  <si>
    <t>O-01346</t>
  </si>
  <si>
    <t>O-01347</t>
  </si>
  <si>
    <t>O-01348</t>
  </si>
  <si>
    <t>O-01349</t>
  </si>
  <si>
    <t>O-01350</t>
  </si>
  <si>
    <t>O-01351</t>
  </si>
  <si>
    <t>O-01352</t>
  </si>
  <si>
    <t>O-01353</t>
  </si>
  <si>
    <t>O-01354</t>
  </si>
  <si>
    <t>O-01355</t>
  </si>
  <si>
    <t>O-01356</t>
  </si>
  <si>
    <t>O-01357</t>
  </si>
  <si>
    <t>O-01358</t>
  </si>
  <si>
    <t>O-01359</t>
  </si>
  <si>
    <t>O-01360</t>
  </si>
  <si>
    <t>O-01361</t>
  </si>
  <si>
    <t>O-01362</t>
  </si>
  <si>
    <t>O-01363</t>
  </si>
  <si>
    <t>O-01364</t>
  </si>
  <si>
    <t>O-01365</t>
  </si>
  <si>
    <t>O-01366</t>
  </si>
  <si>
    <t>O-01367</t>
  </si>
  <si>
    <t>O-01368</t>
  </si>
  <si>
    <t>O-01369</t>
  </si>
  <si>
    <t>O-01370</t>
  </si>
  <si>
    <t>O-01371</t>
  </si>
  <si>
    <t>O-01372</t>
  </si>
  <si>
    <t>O-01373</t>
  </si>
  <si>
    <t>O-01374</t>
  </si>
  <si>
    <t>O-01375</t>
  </si>
  <si>
    <t>O-01376</t>
  </si>
  <si>
    <t>O-01377</t>
  </si>
  <si>
    <t>O-01378</t>
  </si>
  <si>
    <t>O-01379</t>
  </si>
  <si>
    <t>O-01380</t>
  </si>
  <si>
    <t>O-01381</t>
  </si>
  <si>
    <t>O-01382</t>
  </si>
  <si>
    <t>O-01383</t>
  </si>
  <si>
    <t>O-01384</t>
  </si>
  <si>
    <t>O-01385</t>
  </si>
  <si>
    <t>O-01386</t>
  </si>
  <si>
    <t>O-01387</t>
  </si>
  <si>
    <t>O-01388</t>
  </si>
  <si>
    <t>O-01389</t>
  </si>
  <si>
    <t>O-01390</t>
  </si>
  <si>
    <t>O-01391</t>
  </si>
  <si>
    <t>O-01392</t>
  </si>
  <si>
    <t>O-01393</t>
  </si>
  <si>
    <t>O-01394</t>
  </si>
  <si>
    <t>O-01395</t>
  </si>
  <si>
    <t>O-01396</t>
  </si>
  <si>
    <t>O-01397</t>
  </si>
  <si>
    <t>O-01398</t>
  </si>
  <si>
    <t>O-01399</t>
  </si>
  <si>
    <t>O-01400</t>
  </si>
  <si>
    <t>O-01401</t>
  </si>
  <si>
    <t>O-01402</t>
  </si>
  <si>
    <t>O-01403</t>
  </si>
  <si>
    <t>O-01404</t>
  </si>
  <si>
    <t>O-01405</t>
  </si>
  <si>
    <t>O-01406</t>
  </si>
  <si>
    <t>O-01407</t>
  </si>
  <si>
    <t>O-01408</t>
  </si>
  <si>
    <t>O-01409</t>
  </si>
  <si>
    <t>O-01410</t>
  </si>
  <si>
    <t>O-01411</t>
  </si>
  <si>
    <t>O-01412</t>
  </si>
  <si>
    <t>O-01413</t>
  </si>
  <si>
    <t>O-01414</t>
  </si>
  <si>
    <t>O-01415</t>
  </si>
  <si>
    <t>O-01416</t>
  </si>
  <si>
    <t>O-01417</t>
  </si>
  <si>
    <t>O-01418</t>
  </si>
  <si>
    <t>O-01419</t>
  </si>
  <si>
    <t>O-01420</t>
  </si>
  <si>
    <t>O-01421</t>
  </si>
  <si>
    <t>O-01422</t>
  </si>
  <si>
    <t>O-01423</t>
  </si>
  <si>
    <t>O-01424</t>
  </si>
  <si>
    <t>O-01425</t>
  </si>
  <si>
    <t>O-01426</t>
  </si>
  <si>
    <t>O-01427</t>
  </si>
  <si>
    <t>O-01428</t>
  </si>
  <si>
    <t>O-01429</t>
  </si>
  <si>
    <t>O-01430</t>
  </si>
  <si>
    <t>O-01431</t>
  </si>
  <si>
    <t>O-01432</t>
  </si>
  <si>
    <t>O-01433</t>
  </si>
  <si>
    <t>O-01434</t>
  </si>
  <si>
    <t>O-01435</t>
  </si>
  <si>
    <t>O-01436</t>
  </si>
  <si>
    <t>O-01437</t>
  </si>
  <si>
    <t>O-01438</t>
  </si>
  <si>
    <t>O-01439</t>
  </si>
  <si>
    <t>O-01440</t>
  </si>
  <si>
    <t>O-01441</t>
  </si>
  <si>
    <t>O-01442</t>
  </si>
  <si>
    <t>O-01443</t>
  </si>
  <si>
    <t>O-01444</t>
  </si>
  <si>
    <t>O-01445</t>
  </si>
  <si>
    <t>O-01446</t>
  </si>
  <si>
    <t>O-01447</t>
  </si>
  <si>
    <t>O-01448</t>
  </si>
  <si>
    <t>O-01449</t>
  </si>
  <si>
    <t>O-01450</t>
  </si>
  <si>
    <t>O-01451</t>
  </si>
  <si>
    <t>O-01452</t>
  </si>
  <si>
    <t>O-01453</t>
  </si>
  <si>
    <t>O-01454</t>
  </si>
  <si>
    <t>O-01455</t>
  </si>
  <si>
    <t>O-01456</t>
  </si>
  <si>
    <t>O-01457</t>
  </si>
  <si>
    <t>O-01458</t>
  </si>
  <si>
    <t>O-01459</t>
  </si>
  <si>
    <t>O-01460</t>
  </si>
  <si>
    <t>O-01461</t>
  </si>
  <si>
    <t>O-01462</t>
  </si>
  <si>
    <t>O-01463</t>
  </si>
  <si>
    <t>O-01464</t>
  </si>
  <si>
    <t>O-01465</t>
  </si>
  <si>
    <t>O-01466</t>
  </si>
  <si>
    <t>O-01467</t>
  </si>
  <si>
    <t>O-01468</t>
  </si>
  <si>
    <t>O-01469</t>
  </si>
  <si>
    <t>O-01470</t>
  </si>
  <si>
    <t>O-01471</t>
  </si>
  <si>
    <t>O-01472</t>
  </si>
  <si>
    <t>O-01473</t>
  </si>
  <si>
    <t>O-01474</t>
  </si>
  <si>
    <t>O-01475</t>
  </si>
  <si>
    <t>O-01476</t>
  </si>
  <si>
    <t>O-01477</t>
  </si>
  <si>
    <t>O-01478</t>
  </si>
  <si>
    <t>O-01479</t>
  </si>
  <si>
    <t>O-01480</t>
  </si>
  <si>
    <t>O-01481</t>
  </si>
  <si>
    <t>O-01482</t>
  </si>
  <si>
    <t>O-01483</t>
  </si>
  <si>
    <t>O-01484</t>
  </si>
  <si>
    <t>O-01485</t>
  </si>
  <si>
    <t>O-01486</t>
  </si>
  <si>
    <t>O-01487</t>
  </si>
  <si>
    <t>O-01488</t>
  </si>
  <si>
    <t>O-01489</t>
  </si>
  <si>
    <t>O-01490</t>
  </si>
  <si>
    <t>O-01491</t>
  </si>
  <si>
    <t>O-01492</t>
  </si>
  <si>
    <t>O-01493</t>
  </si>
  <si>
    <t>O-01494</t>
  </si>
  <si>
    <t>O-01495</t>
  </si>
  <si>
    <t>O-01496</t>
  </si>
  <si>
    <t>O-01497</t>
  </si>
  <si>
    <t>O-01498</t>
  </si>
  <si>
    <t>O-01499</t>
  </si>
  <si>
    <t>O-01500</t>
  </si>
  <si>
    <t>O-01501</t>
  </si>
  <si>
    <t>O-01502</t>
  </si>
  <si>
    <t>O-01503</t>
  </si>
  <si>
    <t>O-01504</t>
  </si>
  <si>
    <t>O-01505</t>
  </si>
  <si>
    <t>O-01506</t>
  </si>
  <si>
    <t>O-01507</t>
  </si>
  <si>
    <t>O-01508</t>
  </si>
  <si>
    <t>O-01509</t>
  </si>
  <si>
    <t>O-01510</t>
  </si>
  <si>
    <t>O-01511</t>
  </si>
  <si>
    <t>O-01512</t>
  </si>
  <si>
    <t>O-01513</t>
  </si>
  <si>
    <t>O-01514</t>
  </si>
  <si>
    <t>O-01515</t>
  </si>
  <si>
    <t>O-01516</t>
  </si>
  <si>
    <t>O-01517</t>
  </si>
  <si>
    <t>O-01518</t>
  </si>
  <si>
    <t>O-01519</t>
  </si>
  <si>
    <t>O-01520</t>
  </si>
  <si>
    <t>O-01521</t>
  </si>
  <si>
    <t>O-01522</t>
  </si>
  <si>
    <t>O-01523</t>
  </si>
  <si>
    <t>O-01524</t>
  </si>
  <si>
    <t>O-01525</t>
  </si>
  <si>
    <t>O-01526</t>
  </si>
  <si>
    <t>O-01527</t>
  </si>
  <si>
    <t>O-01528</t>
  </si>
  <si>
    <t>O-01529</t>
  </si>
  <si>
    <t>O-01530</t>
  </si>
  <si>
    <t>O-01531</t>
  </si>
  <si>
    <t>O-01532</t>
  </si>
  <si>
    <t>O-01533</t>
  </si>
  <si>
    <t>O-01534</t>
  </si>
  <si>
    <t>O-01535</t>
  </si>
  <si>
    <t>O-01536</t>
  </si>
  <si>
    <t>O-01537</t>
  </si>
  <si>
    <t>O-01538</t>
  </si>
  <si>
    <t>O-01539</t>
  </si>
  <si>
    <t>O-01540</t>
  </si>
  <si>
    <t>O-01541</t>
  </si>
  <si>
    <t>O-01542</t>
  </si>
  <si>
    <t>O-01543</t>
  </si>
  <si>
    <t>O-01544</t>
  </si>
  <si>
    <t>O-01545</t>
  </si>
  <si>
    <t>O-01546</t>
  </si>
  <si>
    <t>O-01547</t>
  </si>
  <si>
    <t>O-01548</t>
  </si>
  <si>
    <t>O-01549</t>
  </si>
  <si>
    <t>O-01550</t>
  </si>
  <si>
    <t>O-01551</t>
  </si>
  <si>
    <t>O-01552</t>
  </si>
  <si>
    <t>O-01553</t>
  </si>
  <si>
    <t>O-01554</t>
  </si>
  <si>
    <t>O-01555</t>
  </si>
  <si>
    <t>O-01556</t>
  </si>
  <si>
    <t>O-01557</t>
  </si>
  <si>
    <t>O-01558</t>
  </si>
  <si>
    <t>O-01559</t>
  </si>
  <si>
    <t>O-01560</t>
  </si>
  <si>
    <t>O-01561</t>
  </si>
  <si>
    <t>O-01562</t>
  </si>
  <si>
    <t>O-01563</t>
  </si>
  <si>
    <t>O-01564</t>
  </si>
  <si>
    <t>O-01565</t>
  </si>
  <si>
    <t>O-01566</t>
  </si>
  <si>
    <t>O-01567</t>
  </si>
  <si>
    <t>O-01568</t>
  </si>
  <si>
    <t>O-01569</t>
  </si>
  <si>
    <t>O-01570</t>
  </si>
  <si>
    <t>O-01571</t>
  </si>
  <si>
    <t>O-01572</t>
  </si>
  <si>
    <t>O-01573</t>
  </si>
  <si>
    <t>O-01574</t>
  </si>
  <si>
    <t>O-01575</t>
  </si>
  <si>
    <t>O-01576</t>
  </si>
  <si>
    <t>O-01577</t>
  </si>
  <si>
    <t>O-01578</t>
  </si>
  <si>
    <t>O-01579</t>
  </si>
  <si>
    <t>O-01580</t>
  </si>
  <si>
    <t>O-01581</t>
  </si>
  <si>
    <t>O-01582</t>
  </si>
  <si>
    <t>O-01583</t>
  </si>
  <si>
    <t>O-01584</t>
  </si>
  <si>
    <t>O-01585</t>
  </si>
  <si>
    <t>O-01586</t>
  </si>
  <si>
    <t>O-01587</t>
  </si>
  <si>
    <t>O-01588</t>
  </si>
  <si>
    <t>O-01589</t>
  </si>
  <si>
    <t>O-01590</t>
  </si>
  <si>
    <t>O-01591</t>
  </si>
  <si>
    <t>O-01592</t>
  </si>
  <si>
    <t>O-01593</t>
  </si>
  <si>
    <t>O-01594</t>
  </si>
  <si>
    <t>O-01595</t>
  </si>
  <si>
    <t>O-01596</t>
  </si>
  <si>
    <t>O-01597</t>
  </si>
  <si>
    <t>O-01598</t>
  </si>
  <si>
    <t>O-01599</t>
  </si>
  <si>
    <t>O-01600</t>
  </si>
  <si>
    <t>O-01601</t>
  </si>
  <si>
    <t>O-01602</t>
  </si>
  <si>
    <t>O-01603</t>
  </si>
  <si>
    <t>O-01604</t>
  </si>
  <si>
    <t>O-01605</t>
  </si>
  <si>
    <t>O-01606</t>
  </si>
  <si>
    <t>O-01607</t>
  </si>
  <si>
    <t>O-01608</t>
  </si>
  <si>
    <t>O-01609</t>
  </si>
  <si>
    <t>O-01610</t>
  </si>
  <si>
    <t>O-01611</t>
  </si>
  <si>
    <t>O-01612</t>
  </si>
  <si>
    <t>O-01613</t>
  </si>
  <si>
    <t>O-01614</t>
  </si>
  <si>
    <t>O-01615</t>
  </si>
  <si>
    <t>O-01616</t>
  </si>
  <si>
    <t>O-01617</t>
  </si>
  <si>
    <t>O-01618</t>
  </si>
  <si>
    <t>O-01619</t>
  </si>
  <si>
    <t>O-01620</t>
  </si>
  <si>
    <t>O-01621</t>
  </si>
  <si>
    <t>O-01622</t>
  </si>
  <si>
    <t>O-01623</t>
  </si>
  <si>
    <t>O-01624</t>
  </si>
  <si>
    <t>O-01625</t>
  </si>
  <si>
    <t>O-01626</t>
  </si>
  <si>
    <t>O-01627</t>
  </si>
  <si>
    <t>O-01628</t>
  </si>
  <si>
    <t>O-01629</t>
  </si>
  <si>
    <t>O-01630</t>
  </si>
  <si>
    <t>O-01631</t>
  </si>
  <si>
    <t>O-01632</t>
  </si>
  <si>
    <t>O-01633</t>
  </si>
  <si>
    <t>O-01634</t>
  </si>
  <si>
    <t>O-01635</t>
  </si>
  <si>
    <t>O-01636</t>
  </si>
  <si>
    <t>O-01637</t>
  </si>
  <si>
    <t>O-01638</t>
  </si>
  <si>
    <t>O-01639</t>
  </si>
  <si>
    <t>O-01640</t>
  </si>
  <si>
    <t>O-01641</t>
  </si>
  <si>
    <t>O-01642</t>
  </si>
  <si>
    <t>O-01643</t>
  </si>
  <si>
    <t>O-01644</t>
  </si>
  <si>
    <t>O-01645</t>
  </si>
  <si>
    <t>O-01646</t>
  </si>
  <si>
    <t>O-01647</t>
  </si>
  <si>
    <t>O-01648</t>
  </si>
  <si>
    <t>O-01649</t>
  </si>
  <si>
    <t>O-01650</t>
  </si>
  <si>
    <t>O-01651</t>
  </si>
  <si>
    <t>O-01652</t>
  </si>
  <si>
    <t>O-01653</t>
  </si>
  <si>
    <t>O-01654</t>
  </si>
  <si>
    <t>O-01655</t>
  </si>
  <si>
    <t>O-01656</t>
  </si>
  <si>
    <t>O-01657</t>
  </si>
  <si>
    <t>O-01658</t>
  </si>
  <si>
    <t>O-01659</t>
  </si>
  <si>
    <t>O-01660</t>
  </si>
  <si>
    <t>O-01661</t>
  </si>
  <si>
    <t>O-01662</t>
  </si>
  <si>
    <t>O-01663</t>
  </si>
  <si>
    <t>O-01664</t>
  </si>
  <si>
    <t>O-01665</t>
  </si>
  <si>
    <t>O-01666</t>
  </si>
  <si>
    <t>O-01667</t>
  </si>
  <si>
    <t>O-01668</t>
  </si>
  <si>
    <t>O-01669</t>
  </si>
  <si>
    <t>O-01670</t>
  </si>
  <si>
    <t>O-01671</t>
  </si>
  <si>
    <t>O-01672</t>
  </si>
  <si>
    <t>O-01673</t>
  </si>
  <si>
    <t>O-01674</t>
  </si>
  <si>
    <t>O-01675</t>
  </si>
  <si>
    <t>O-01676</t>
  </si>
  <si>
    <t>O-01677</t>
  </si>
  <si>
    <t>O-01678</t>
  </si>
  <si>
    <t>O-01679</t>
  </si>
  <si>
    <t>O-01680</t>
  </si>
  <si>
    <t>O-01681</t>
  </si>
  <si>
    <t>O-01682</t>
  </si>
  <si>
    <t>O-01683</t>
  </si>
  <si>
    <t>O-01684</t>
  </si>
  <si>
    <t>O-01685</t>
  </si>
  <si>
    <t>O-01686</t>
  </si>
  <si>
    <t>O-01687</t>
  </si>
  <si>
    <t>O-01688</t>
  </si>
  <si>
    <t>O-01689</t>
  </si>
  <si>
    <t>O-01690</t>
  </si>
  <si>
    <t>O-01691</t>
  </si>
  <si>
    <t>O-01692</t>
  </si>
  <si>
    <t>O-01693</t>
  </si>
  <si>
    <t>O-01694</t>
  </si>
  <si>
    <t>O-01695</t>
  </si>
  <si>
    <t>O-01696</t>
  </si>
  <si>
    <t>O-01697</t>
  </si>
  <si>
    <t>O-01698</t>
  </si>
  <si>
    <t>O-01699</t>
  </si>
  <si>
    <t>O-01700</t>
  </si>
  <si>
    <t>O-01701</t>
  </si>
  <si>
    <t>O-01702</t>
  </si>
  <si>
    <t>O-01703</t>
  </si>
  <si>
    <t>O-01704</t>
  </si>
  <si>
    <t>O-01705</t>
  </si>
  <si>
    <t>O-01706</t>
  </si>
  <si>
    <t>O-01707</t>
  </si>
  <si>
    <t>O-01708</t>
  </si>
  <si>
    <t>O-01709</t>
  </si>
  <si>
    <t>O-01710</t>
  </si>
  <si>
    <t>O-01711</t>
  </si>
  <si>
    <t>O-01712</t>
  </si>
  <si>
    <t>O-01713</t>
  </si>
  <si>
    <t>O-01714</t>
  </si>
  <si>
    <t>O-01715</t>
  </si>
  <si>
    <t>O-01716</t>
  </si>
  <si>
    <t>O-01717</t>
  </si>
  <si>
    <t>O-01718</t>
  </si>
  <si>
    <t>O-01719</t>
  </si>
  <si>
    <t>O-01720</t>
  </si>
  <si>
    <t>O-01721</t>
  </si>
  <si>
    <t>O-01722</t>
  </si>
  <si>
    <t>O-01723</t>
  </si>
  <si>
    <t>O-01724</t>
  </si>
  <si>
    <t>O-01725</t>
  </si>
  <si>
    <t>O-01726</t>
  </si>
  <si>
    <t>O-01727</t>
  </si>
  <si>
    <t>O-01728</t>
  </si>
  <si>
    <t>O-01729</t>
  </si>
  <si>
    <t>O-01730</t>
  </si>
  <si>
    <t>O-01731</t>
  </si>
  <si>
    <t>O-01732</t>
  </si>
  <si>
    <t>O-01733</t>
  </si>
  <si>
    <t>O-01734</t>
  </si>
  <si>
    <t>O-01735</t>
  </si>
  <si>
    <t>O-01736</t>
  </si>
  <si>
    <t>O-01737</t>
  </si>
  <si>
    <t>O-01738</t>
  </si>
  <si>
    <t>O-01739</t>
  </si>
  <si>
    <t>O-01740</t>
  </si>
  <si>
    <t>O-01741</t>
  </si>
  <si>
    <t>O-01742</t>
  </si>
  <si>
    <t>O-01743</t>
  </si>
  <si>
    <t>O-01744</t>
  </si>
  <si>
    <t>O-01745</t>
  </si>
  <si>
    <t>O-01746</t>
  </si>
  <si>
    <t>O-01747</t>
  </si>
  <si>
    <t>O-01748</t>
  </si>
  <si>
    <t>O-01749</t>
  </si>
  <si>
    <t>O-01750</t>
  </si>
  <si>
    <t>O-01751</t>
  </si>
  <si>
    <t>O-01752</t>
  </si>
  <si>
    <t>O-01753</t>
  </si>
  <si>
    <t>O-01754</t>
  </si>
  <si>
    <t>O-01755</t>
  </si>
  <si>
    <t>O-01756</t>
  </si>
  <si>
    <t>O-01757</t>
  </si>
  <si>
    <t>O-01758</t>
  </si>
  <si>
    <t>O-01759</t>
  </si>
  <si>
    <t>O-01760</t>
  </si>
  <si>
    <t>O-01761</t>
  </si>
  <si>
    <t>O-01762</t>
  </si>
  <si>
    <t>O-01763</t>
  </si>
  <si>
    <t>O-01764</t>
  </si>
  <si>
    <t>O-01765</t>
  </si>
  <si>
    <t>O-01766</t>
  </si>
  <si>
    <t>O-01767</t>
  </si>
  <si>
    <t>O-01768</t>
  </si>
  <si>
    <t>O-01769</t>
  </si>
  <si>
    <t>O-01770</t>
  </si>
  <si>
    <t>O-01771</t>
  </si>
  <si>
    <t>O-01772</t>
  </si>
  <si>
    <t>O-01773</t>
  </si>
  <si>
    <t>O-01774</t>
  </si>
  <si>
    <t>O-01775</t>
  </si>
  <si>
    <t>O-01776</t>
  </si>
  <si>
    <t>O-01777</t>
  </si>
  <si>
    <t>O-01778</t>
  </si>
  <si>
    <t>O-01779</t>
  </si>
  <si>
    <t>O-01780</t>
  </si>
  <si>
    <t>O-01781</t>
  </si>
  <si>
    <t>O-01782</t>
  </si>
  <si>
    <t>O-01783</t>
  </si>
  <si>
    <t>O-01784</t>
  </si>
  <si>
    <t>O-01785</t>
  </si>
  <si>
    <t>O-01786</t>
  </si>
  <si>
    <t>O-01787</t>
  </si>
  <si>
    <t>O-01788</t>
  </si>
  <si>
    <t>O-01789</t>
  </si>
  <si>
    <t>O-01790</t>
  </si>
  <si>
    <t>O-01791</t>
  </si>
  <si>
    <t>O-01792</t>
  </si>
  <si>
    <t>O-01793</t>
  </si>
  <si>
    <t>O-01794</t>
  </si>
  <si>
    <t>O-01795</t>
  </si>
  <si>
    <t>O-01796</t>
  </si>
  <si>
    <t>O-01797</t>
  </si>
  <si>
    <t>O-01798</t>
  </si>
  <si>
    <t>O-01799</t>
  </si>
  <si>
    <t>complaint_id</t>
  </si>
  <si>
    <t>complaint_date</t>
  </si>
  <si>
    <t>complaint_type</t>
  </si>
  <si>
    <t>severity</t>
  </si>
  <si>
    <t>complaint_status</t>
  </si>
  <si>
    <t>resolution_days</t>
  </si>
  <si>
    <t>CMP-001</t>
  </si>
  <si>
    <t>Wrong item</t>
  </si>
  <si>
    <t>Critical</t>
  </si>
  <si>
    <t>Resolved</t>
  </si>
  <si>
    <t>CMP-002</t>
  </si>
  <si>
    <t>Short dated</t>
  </si>
  <si>
    <t>Low</t>
  </si>
  <si>
    <t>CMP-003</t>
  </si>
  <si>
    <t>Foreign object</t>
  </si>
  <si>
    <t>Medium</t>
  </si>
  <si>
    <t>CMP-004</t>
  </si>
  <si>
    <t>CMP-005</t>
  </si>
  <si>
    <t>CMP-006</t>
  </si>
  <si>
    <t>Open</t>
  </si>
  <si>
    <t>CMP-007</t>
  </si>
  <si>
    <t>CMP-008</t>
  </si>
  <si>
    <t>CMP-009</t>
  </si>
  <si>
    <t>In progress</t>
  </si>
  <si>
    <t>CMP-010</t>
  </si>
  <si>
    <t>CMP-011</t>
  </si>
  <si>
    <t>CMP-012</t>
  </si>
  <si>
    <t>Packaging</t>
  </si>
  <si>
    <t>CMP-013</t>
  </si>
  <si>
    <t>High</t>
  </si>
  <si>
    <t>CMP-014</t>
  </si>
  <si>
    <t>CMP-015</t>
  </si>
  <si>
    <t>CMP-016</t>
  </si>
  <si>
    <t>CMP-017</t>
  </si>
  <si>
    <t>Taste/Quality</t>
  </si>
  <si>
    <t>CMP-018</t>
  </si>
  <si>
    <t>CMP-019</t>
  </si>
  <si>
    <t>CMP-020</t>
  </si>
  <si>
    <t>CMP-021</t>
  </si>
  <si>
    <t>CMP-022</t>
  </si>
  <si>
    <t>CMP-023</t>
  </si>
  <si>
    <t>CMP-024</t>
  </si>
  <si>
    <t>CMP-025</t>
  </si>
  <si>
    <t>CMP-026</t>
  </si>
  <si>
    <t>CMP-027</t>
  </si>
  <si>
    <t>CMP-028</t>
  </si>
  <si>
    <t>CMP-029</t>
  </si>
  <si>
    <t>CMP-030</t>
  </si>
  <si>
    <t>CMP-031</t>
  </si>
  <si>
    <t>CMP-032</t>
  </si>
  <si>
    <t>CMP-033</t>
  </si>
  <si>
    <t>CMP-034</t>
  </si>
  <si>
    <t>CMP-035</t>
  </si>
  <si>
    <t>CMP-036</t>
  </si>
  <si>
    <t>CMP-037</t>
  </si>
  <si>
    <t>CMP-038</t>
  </si>
  <si>
    <t>CMP-039</t>
  </si>
  <si>
    <t>CMP-040</t>
  </si>
  <si>
    <t>CMP-041</t>
  </si>
  <si>
    <t>CMP-042</t>
  </si>
  <si>
    <t>CMP-043</t>
  </si>
  <si>
    <t>Temperature</t>
  </si>
  <si>
    <t>CMP-044</t>
  </si>
  <si>
    <t>CMP-045</t>
  </si>
  <si>
    <t>CMP-046</t>
  </si>
  <si>
    <t>CMP-047</t>
  </si>
  <si>
    <t>CMP-048</t>
  </si>
  <si>
    <t>CMP-049</t>
  </si>
  <si>
    <t>CMP-050</t>
  </si>
  <si>
    <t>CMP-051</t>
  </si>
  <si>
    <t>CMP-052</t>
  </si>
  <si>
    <t>CMP-053</t>
  </si>
  <si>
    <t>CMP-054</t>
  </si>
  <si>
    <t>CMP-055</t>
  </si>
  <si>
    <t>CMP-056</t>
  </si>
  <si>
    <t>CMP-057</t>
  </si>
  <si>
    <t>CMP-058</t>
  </si>
  <si>
    <t>CMP-059</t>
  </si>
  <si>
    <t>CMP-060</t>
  </si>
  <si>
    <t>CMP-061</t>
  </si>
  <si>
    <t>CMP-062</t>
  </si>
  <si>
    <t>CMP-063</t>
  </si>
  <si>
    <t>CMP-064</t>
  </si>
  <si>
    <t>CMP-065</t>
  </si>
  <si>
    <t>CMP-066</t>
  </si>
  <si>
    <t>CMP-067</t>
  </si>
  <si>
    <t>CMP-068</t>
  </si>
  <si>
    <t>CMP-069</t>
  </si>
  <si>
    <t>CMP-070</t>
  </si>
  <si>
    <t>CMP-071</t>
  </si>
  <si>
    <t>CMP-072</t>
  </si>
  <si>
    <t>CMP-073</t>
  </si>
  <si>
    <t>CMP-074</t>
  </si>
  <si>
    <t>CMP-075</t>
  </si>
  <si>
    <t>CMP-076</t>
  </si>
  <si>
    <t>CMP-077</t>
  </si>
  <si>
    <t>CMP-078</t>
  </si>
  <si>
    <t>CMP-079</t>
  </si>
  <si>
    <t>CMP-080</t>
  </si>
  <si>
    <t>CMP-081</t>
  </si>
  <si>
    <t>CMP-082</t>
  </si>
  <si>
    <t>CMP-083</t>
  </si>
  <si>
    <t>CMP-084</t>
  </si>
  <si>
    <t>CMP-085</t>
  </si>
  <si>
    <t>CMP-086</t>
  </si>
  <si>
    <t>CMP-087</t>
  </si>
  <si>
    <t>CMP-088</t>
  </si>
  <si>
    <t>CMP-089</t>
  </si>
  <si>
    <t>CMP-090</t>
  </si>
  <si>
    <t>CMP-091</t>
  </si>
  <si>
    <t>CMP-092</t>
  </si>
  <si>
    <t>CMP-093</t>
  </si>
  <si>
    <t>CMP-094</t>
  </si>
  <si>
    <t>CMP-095</t>
  </si>
  <si>
    <t>CMP-096</t>
  </si>
  <si>
    <t>CMP-097</t>
  </si>
  <si>
    <t>CMP-098</t>
  </si>
  <si>
    <t>CMP-099</t>
  </si>
  <si>
    <t>CMP-100</t>
  </si>
  <si>
    <t>document_type</t>
  </si>
  <si>
    <t>issue_date</t>
  </si>
  <si>
    <t>related_category</t>
  </si>
  <si>
    <t>DOC-001</t>
  </si>
  <si>
    <t>Valid</t>
  </si>
  <si>
    <t>DOC-002</t>
  </si>
  <si>
    <t>Expired</t>
  </si>
  <si>
    <t>DOC-003</t>
  </si>
  <si>
    <t>DOC-004</t>
  </si>
  <si>
    <t>DOC-005</t>
  </si>
  <si>
    <t>DOC-006</t>
  </si>
  <si>
    <t>Temperature Declaration</t>
  </si>
  <si>
    <t>DOC-007</t>
  </si>
  <si>
    <t>DOC-008</t>
  </si>
  <si>
    <t>DOC-009</t>
  </si>
  <si>
    <t>DOC-010</t>
  </si>
  <si>
    <t>DOC-011</t>
  </si>
  <si>
    <t>Product Specification</t>
  </si>
  <si>
    <t>DOC-012</t>
  </si>
  <si>
    <t>Food Safety Audit</t>
  </si>
  <si>
    <t>DOC-013</t>
  </si>
  <si>
    <t>HACCP Certificate</t>
  </si>
  <si>
    <t>DOC-014</t>
  </si>
  <si>
    <t>DOC-015</t>
  </si>
  <si>
    <t>DOC-016</t>
  </si>
  <si>
    <t>DOC-017</t>
  </si>
  <si>
    <t>DOC-018</t>
  </si>
  <si>
    <t>DOC-019</t>
  </si>
  <si>
    <t>DOC-020</t>
  </si>
  <si>
    <t>DOC-021</t>
  </si>
  <si>
    <t>DOC-022</t>
  </si>
  <si>
    <t>DOC-023</t>
  </si>
  <si>
    <t>DOC-024</t>
  </si>
  <si>
    <t>DOC-025</t>
  </si>
  <si>
    <t>DOC-026</t>
  </si>
  <si>
    <t>DOC-027</t>
  </si>
  <si>
    <t>DOC-028</t>
  </si>
  <si>
    <t>DOC-029</t>
  </si>
  <si>
    <t>DOC-030</t>
  </si>
  <si>
    <t>DOC-031</t>
  </si>
  <si>
    <t>DOC-032</t>
  </si>
  <si>
    <t>DOC-033</t>
  </si>
  <si>
    <t>DOC-034</t>
  </si>
  <si>
    <t>DOC-035</t>
  </si>
  <si>
    <t>DOC-036</t>
  </si>
  <si>
    <t>DOC-037</t>
  </si>
  <si>
    <t>DOC-038</t>
  </si>
  <si>
    <t>DOC-039</t>
  </si>
  <si>
    <t>DOC-040</t>
  </si>
  <si>
    <t>DOC-041</t>
  </si>
  <si>
    <t>DOC-042</t>
  </si>
  <si>
    <t>DOC-043</t>
  </si>
  <si>
    <t>DOC-044</t>
  </si>
  <si>
    <t>DOC-045</t>
  </si>
  <si>
    <t>DOC-046</t>
  </si>
  <si>
    <t>DOC-047</t>
  </si>
  <si>
    <t>DOC-048</t>
  </si>
  <si>
    <t>DOC-049</t>
  </si>
  <si>
    <t>DOC-050</t>
  </si>
  <si>
    <t>DOC-051</t>
  </si>
  <si>
    <t>DOC-052</t>
  </si>
  <si>
    <t>DOC-053</t>
  </si>
  <si>
    <t>DOC-054</t>
  </si>
  <si>
    <t>DOC-055</t>
  </si>
  <si>
    <t>DOC-056</t>
  </si>
  <si>
    <t>DOC-057</t>
  </si>
  <si>
    <t>DOC-058</t>
  </si>
  <si>
    <t>DOC-059</t>
  </si>
  <si>
    <t>DOC-060</t>
  </si>
  <si>
    <t>DOC-061</t>
  </si>
  <si>
    <t>DOC-062</t>
  </si>
  <si>
    <t>DOC-063</t>
  </si>
  <si>
    <t>risk_id</t>
  </si>
  <si>
    <t>risk_reason</t>
  </si>
  <si>
    <t>risk_level</t>
  </si>
  <si>
    <t>date_identified</t>
  </si>
  <si>
    <t>action_required</t>
  </si>
  <si>
    <t>status</t>
  </si>
  <si>
    <t>RR-001</t>
  </si>
  <si>
    <t>Supplier notice</t>
  </si>
  <si>
    <t>Chase documents</t>
  </si>
  <si>
    <t>RR-002</t>
  </si>
  <si>
    <t>Near expiry</t>
  </si>
  <si>
    <t>Dispose</t>
  </si>
  <si>
    <t>RR-003</t>
  </si>
  <si>
    <t>RR-004</t>
  </si>
  <si>
    <t>RR-005</t>
  </si>
  <si>
    <t>RR-006</t>
  </si>
  <si>
    <t>B-9999</t>
  </si>
  <si>
    <t>RR-007</t>
  </si>
  <si>
    <t>RR-008</t>
  </si>
  <si>
    <t>Missing documents</t>
  </si>
  <si>
    <t>RR-009</t>
  </si>
  <si>
    <t>RR-010</t>
  </si>
  <si>
    <t>RR-011</t>
  </si>
  <si>
    <t>Contact customers</t>
  </si>
  <si>
    <t>RR-012</t>
  </si>
  <si>
    <t>RR-013</t>
  </si>
  <si>
    <t>RR-014</t>
  </si>
  <si>
    <t>Temperature excursion</t>
  </si>
  <si>
    <t>RR-015</t>
  </si>
  <si>
    <t>RR-016</t>
  </si>
  <si>
    <t>RR-017</t>
  </si>
  <si>
    <t>RR-018</t>
  </si>
  <si>
    <t>RR-019</t>
  </si>
  <si>
    <t>Monitor</t>
  </si>
  <si>
    <t>RR-020</t>
  </si>
  <si>
    <t>RR-021</t>
  </si>
  <si>
    <t>Hold stock</t>
  </si>
  <si>
    <t>RR-022</t>
  </si>
  <si>
    <t>RR-023</t>
  </si>
  <si>
    <t>RR-024</t>
  </si>
  <si>
    <t>RR-025</t>
  </si>
  <si>
    <t>RR-026</t>
  </si>
  <si>
    <t>RR-027</t>
  </si>
  <si>
    <t>RR-028</t>
  </si>
  <si>
    <t>RR-029</t>
  </si>
  <si>
    <t>RR-030</t>
  </si>
  <si>
    <t>notes</t>
  </si>
  <si>
    <t>Note</t>
  </si>
  <si>
    <t>Resolution days cant be negitive days</t>
  </si>
  <si>
    <t>Insurance Certificate</t>
  </si>
  <si>
    <t>Complaint Cluster</t>
  </si>
  <si>
    <t>date diff</t>
  </si>
  <si>
    <t>diff date</t>
  </si>
  <si>
    <t>wrong rating</t>
  </si>
  <si>
    <t>Order date &gt; Dispatch date</t>
  </si>
  <si>
    <t>orphan order: customer C-999 not in Customers</t>
  </si>
  <si>
    <t>has zero quantity</t>
  </si>
  <si>
    <t>orphan order: customer C-888 not in Customers</t>
  </si>
  <si>
    <t>has negative quantities</t>
  </si>
  <si>
    <t>negative stock received</t>
  </si>
  <si>
    <t>remaining exceeded received</t>
  </si>
  <si>
    <t>FreshRoute Data Quality Log</t>
  </si>
  <si>
    <t>Changes applied</t>
  </si>
  <si>
    <t>Date</t>
  </si>
  <si>
    <t>Sheet</t>
  </si>
  <si>
    <t>Change</t>
  </si>
  <si>
    <t>Cells affected</t>
  </si>
  <si>
    <t>15/07/2026</t>
  </si>
  <si>
    <t>Orders</t>
  </si>
  <si>
    <t>delivery_region standardized (trailing spaces, case variants)</t>
  </si>
  <si>
    <t>Note text trimmed; 'Disptach' typo corrected</t>
  </si>
  <si>
    <t>Duplicate row removed (order O-00651)</t>
  </si>
  <si>
    <t>1 row</t>
  </si>
  <si>
    <t>order_date / dispatch_date replaced from raw file (day-first parsing), keyed by order_id</t>
  </si>
  <si>
    <t>50 / 42</t>
  </si>
  <si>
    <t>Batches</t>
  </si>
  <si>
    <t>manufacture_date / expiry_date replaced from raw file, keyed by batch_id</t>
  </si>
  <si>
    <t>87 / 8</t>
  </si>
  <si>
    <t>Suppliers</t>
  </si>
  <si>
    <t>last_audit_date replaced from raw file, keyed by supplier_id</t>
  </si>
  <si>
    <t>Region 'Christchurch' remapped to 'Canterbury'</t>
  </si>
  <si>
    <t>O-01385 customer re-pointed C-071 → C-032 (last of 25 raw C-071 references)</t>
  </si>
  <si>
    <t>Customers</t>
  </si>
  <si>
    <t>Region variants cleaned (trailing spaces, casing)</t>
  </si>
  <si>
    <t>Complaints</t>
  </si>
  <si>
    <t>Packaging ' trimmed (13); 'closed' → 'Closed' (3); 9 blank statuses set to 'Open' (no resolution_days recorded)</t>
  </si>
  <si>
    <t>Unknown' audit dates cleared to blank (S-05, S-09); stray cell L2 cleared</t>
  </si>
  <si>
    <t>Supplier_Documents</t>
  </si>
  <si>
    <t>4 documents past expiry re-statused 'Valid' → 'Expired' (DOC-001, -011, -026, -036)</t>
  </si>
  <si>
    <t>notes column trimmed</t>
  </si>
  <si>
    <t>Open flags — need business decision</t>
  </si>
  <si>
    <t>Flag</t>
  </si>
  <si>
    <t>Location</t>
  </si>
  <si>
    <t>Status</t>
  </si>
  <si>
    <t>O-00401 negative quantity (-24); O-00301 zero quantity — noted in column J</t>
  </si>
  <si>
    <t>J1325, J1305</t>
  </si>
  <si>
    <t>Orphan customers: C-999 (O-00101), C-888 (O-00201) — noted in column J</t>
  </si>
  <si>
    <t>J190, J1311</t>
  </si>
  <si>
    <t>columns D, F</t>
  </si>
  <si>
    <t>46 notes 'Order date &gt; Dispatch date' are stale after date repair (only O-00501's is valid)</t>
  </si>
  <si>
    <t>column J</t>
  </si>
  <si>
    <t>B-0041 manufacture_date after expiry_date (genuine in raw file)</t>
  </si>
  <si>
    <t>Batch B-0041</t>
  </si>
  <si>
    <t>7 blank expiry_date (match raw file)</t>
  </si>
  <si>
    <t>column F</t>
  </si>
  <si>
    <t>Blank region for customer in row 72</t>
  </si>
  <si>
    <t>D72</t>
  </si>
  <si>
    <t>Ratings out of range (expected 1-5): S-03 blank, S-06 = 0, S-10 = 6 — highlighted</t>
  </si>
  <si>
    <t>D4, D7, D11</t>
  </si>
  <si>
    <t>—</t>
  </si>
  <si>
    <t>5 blank document_status</t>
  </si>
  <si>
    <t>Recall_Risk</t>
  </si>
  <si>
    <t>RR-006 references batch B-9999 which does not exist in Batches — highlighted</t>
  </si>
  <si>
    <t>B7</t>
  </si>
  <si>
    <t>S-15 'MeadowValley Dairy' absent from this workbook — confirmed duplicate of S-01 'Meadow Valley Dairy Ltd' (Australia, Dairy); removal intentional</t>
  </si>
  <si>
    <t>Resolved 15/07/2026</t>
  </si>
  <si>
    <t>O-00501 order_date (14/03/2026) after dispatch_date (10/03/2026) — same error in original raw file; real dates unknown, values deliberately left as-is</t>
  </si>
  <si>
    <t>C1398:D1398</t>
  </si>
  <si>
    <t>Closed 15/07/2026 — accepted, source error</t>
  </si>
  <si>
    <t>16/07/2026</t>
  </si>
  <si>
    <t>Orders / Complaints</t>
  </si>
  <si>
    <t>batch_id blanked on 5 rows orphaned when batch B-0041 was quarantined to exceptions (Orders: O-01369, O-00575, O-01314, O-00503; Complaints: CMP-028). Rows retained in analysis; they join the existing 'no batch link' population.</t>
  </si>
  <si>
    <t>5 rows (4 Orders, 1 Complaint)</t>
  </si>
  <si>
    <t>95 blank dispatch_date; 317 blank batch_id (313 from raw file + 4 orphaned when B-0041 was quarantined — see Changes applied 16/07/2026)</t>
  </si>
  <si>
    <t>Column1</t>
  </si>
  <si>
    <t xml:space="preserve"> </t>
  </si>
  <si>
    <t>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</si>
</sst>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"/>
    <numFmt numFmtId="165" formatCode="&quot;$&quot;#,##0.00"/>
    <numFmt numFmtId="166" formatCode="d/mm/yyyy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3" fillId="0" borderId="0" xfId="0" applyFon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3" fillId="0" borderId="0" xfId="0" applyNumberFormat="1" applyFont="1"/>
    <xf numFmtId="166" fontId="0" fillId="0" borderId="0" xfId="0" applyNumberFormat="1"/>
    <xf numFmtId="0" fontId="1" fillId="0" borderId="0" xfId="0" applyFont="1" applyAlignment="1">
      <alignment horizontal="center" vertical="top"/>
    </xf>
    <xf numFmtId="166" fontId="3" fillId="0" borderId="0" xfId="0" applyNumberFormat="1" applyFont="1"/>
    <xf numFmtId="0" fontId="1" fillId="0" borderId="2" xfId="0" applyFont="1" applyBorder="1" applyAlignment="1">
      <alignment horizontal="center" vertical="top"/>
    </xf>
    <xf numFmtId="166" fontId="1" fillId="0" borderId="2" xfId="0" applyNumberFormat="1" applyFont="1" applyBorder="1" applyAlignment="1">
      <alignment horizontal="center" vertical="top"/>
    </xf>
    <xf numFmtId="0" fontId="3" fillId="2" borderId="3" xfId="0" applyFont="1" applyFill="1" applyBorder="1"/>
    <xf numFmtId="165" fontId="1" fillId="0" borderId="2" xfId="1" applyNumberFormat="1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0" fontId="3" fillId="3" borderId="0" xfId="0" applyFont="1" applyFill="1"/>
    <xf numFmtId="0" fontId="0" fillId="3" borderId="0" xfId="0" applyFill="1"/>
    <xf numFmtId="0" fontId="6" fillId="0" borderId="0" xfId="0" applyFont="1"/>
    <xf numFmtId="0" fontId="7" fillId="0" borderId="0" xfId="0" applyFont="1"/>
    <xf numFmtId="0" fontId="6" fillId="4" borderId="0" xfId="0" applyFont="1" applyFill="1"/>
    <xf numFmtId="0" fontId="6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2">
    <cellStyle name="Currency" xfId="1" builtinId="4"/>
    <cellStyle name="Normal" xfId="0" builtinId="0"/>
  </cellStyles>
  <dxfs count="37">
    <dxf>
      <numFmt numFmtId="166" formatCode="d/mm/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d/mm/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166" formatCode="d/mm/yyyy;@"/>
    </dxf>
    <dxf>
      <numFmt numFmtId="166" formatCode="d/mm/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166" formatCode="d/mm/yyyy;@"/>
    </dxf>
    <dxf>
      <numFmt numFmtId="166" formatCode="d/mm/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d/mm/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d/mm/yyyy;@"/>
    </dxf>
    <dxf>
      <numFmt numFmtId="166" formatCode="d/mm/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3/09/relationships/Python" Target="pytho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022AC9-AAAB-4549-A6AF-D67F98F871E7}" name="Table5" displayName="Table5" ref="A1:H52" totalsRowShown="0" headerRowDxfId="31" headerRowBorderDxfId="30" tableBorderDxfId="29">
  <autoFilter ref="A1:H52" xr:uid="{00000000-0001-0000-0000-000000000000}"/>
  <tableColumns count="8">
    <tableColumn id="1" xr3:uid="{6EDCEC57-F3C8-E14D-9C8A-071E7AD912D0}" name="product_id"/>
    <tableColumn id="2" xr3:uid="{2765F994-E1CB-3846-9251-FF5AB82EFA50}" name="product_name"/>
    <tableColumn id="3" xr3:uid="{980E229C-0217-7D42-A265-4FE41A704958}" name="product_category"/>
    <tableColumn id="4" xr3:uid="{FC164BBF-EEDE-924F-9C42-97AE5A02E2EA}" name="brand"/>
    <tableColumn id="5" xr3:uid="{52C6BDB2-20F2-874F-9C78-A52DE5E3CFBD}" name="storage_type"/>
    <tableColumn id="6" xr3:uid="{703257AE-2E19-9F4D-8BB2-F82D041348D1}" name="unit_cost" dataDxfId="28" dataCellStyle="Currency"/>
    <tableColumn id="7" xr3:uid="{31780981-E170-B64F-8DD5-62D07B773730}" name="unit_sell_price" dataDxfId="27"/>
    <tableColumn id="8" xr3:uid="{FA9EAE31-22D7-4045-99A2-719E303529D8}" name="active_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25B415-B7F5-4547-99BD-E6AA97CEBA3F}" name="Table6" displayName="Table6" ref="A1:H15" totalsRowShown="0" headerRowDxfId="26" headerRowBorderDxfId="25" tableBorderDxfId="24">
  <autoFilter ref="A1:H15" xr:uid="{00000000-0001-0000-0100-000000000000}"/>
  <tableColumns count="8">
    <tableColumn id="1" xr3:uid="{AC46B7EC-4664-2C47-853D-D77A02C92E22}" name="supplier_id"/>
    <tableColumn id="2" xr3:uid="{23AC951F-BEB7-3E4B-B66C-4A986CCF6F2C}" name="supplier_name"/>
    <tableColumn id="3" xr3:uid="{7D8FCCFC-240B-964F-AB26-1CFB936972C7}" name="country"/>
    <tableColumn id="4" xr3:uid="{475E0003-66E9-9542-88DF-AA408497619E}" name="supplier_rating"/>
    <tableColumn id="5" xr3:uid="{C1BA05C7-992B-4542-8A63-69662D249C9E}" name="main_category"/>
    <tableColumn id="6" xr3:uid="{BC046B9E-AAD4-464A-A549-8D557FFB6BC8}" name="last_audit_date" dataDxfId="23"/>
    <tableColumn id="7" xr3:uid="{6717D7DD-FFB0-0943-9AAB-5EDB1813E791}" name="certification_status"/>
    <tableColumn id="8" xr3:uid="{0F8DFF50-5B45-D048-B5D9-2DA6244E78DB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91DFC1-821D-1141-9099-3A301A661748}" name="Table7" displayName="Table7" ref="B1:M300" totalsRowShown="0" headerRowDxfId="22" headerRowBorderDxfId="21" tableBorderDxfId="20">
  <autoFilter ref="B1:M300" xr:uid="{0591DFC1-821D-1141-9099-3A301A661748}">
    <filterColumn colId="1">
      <filters>
        <filter val="S-01"/>
      </filters>
    </filterColumn>
    <filterColumn colId="4">
      <customFilters>
        <customFilter operator="notEqual" val=" "/>
      </customFilters>
    </filterColumn>
  </autoFilter>
  <tableColumns count="12">
    <tableColumn id="1" xr3:uid="{F620ACA8-BA11-3141-8BBF-265B93D1608F}" name="product_id"/>
    <tableColumn id="2" xr3:uid="{2CBE9534-1FBF-8146-A2C3-F8DB8E08FC16}" name="supplier_id"/>
    <tableColumn id="3" xr3:uid="{0DDCFDD6-731A-D544-8342-555326CF2B0E}" name="batch_number"/>
    <tableColumn id="4" xr3:uid="{54FA1BE4-868F-6B4B-97F1-5C70170532C4}" name="manufacture_date" dataDxfId="19"/>
    <tableColumn id="5" xr3:uid="{79192DF7-844A-3746-85EB-0ADFC08333BC}" name="expiry_date" dataDxfId="18"/>
    <tableColumn id="6" xr3:uid="{928035F8-7685-584A-BD44-4761D4A210F6}" name="quantity_received"/>
    <tableColumn id="7" xr3:uid="{E10C143C-6653-1941-90A8-6325199519E5}" name="quantity_remaining"/>
    <tableColumn id="8" xr3:uid="{27FDB63D-56B9-6340-8781-79944218E36A}" name="warehouse_location"/>
    <tableColumn id="9" xr3:uid="{4A0EA73D-DC1A-D946-9728-F8B3B2DBD15E}" name="quality_status"/>
    <tableColumn id="10" xr3:uid="{319F582A-E43F-6040-A538-B795066AC2C0}" name="document_status"/>
    <tableColumn id="11" xr3:uid="{C54430A6-7D16-9946-A34E-3C0F8373B6B3}" name="notes"/>
    <tableColumn id="12" xr3:uid="{CE910B49-9FEA-F141-ABA4-22407E492024}" name="date diff" dataDxfId="17">
      <calculatedColumnFormula>IF(Table7[[#This Row],[expiry_date]]-Table7[[#This Row],[manufacture_date]] &gt;=0, TRUE, FALSE)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F9E5BD-67D7-4D47-AF14-9F2F1F300C3E}" name="Table8" displayName="Table8" ref="A1:F72" totalsRowShown="0" headerRowDxfId="16" headerRowBorderDxfId="15" tableBorderDxfId="14">
  <autoFilter ref="A1:F72" xr:uid="{00000000-0001-0000-0300-000000000000}"/>
  <tableColumns count="6">
    <tableColumn id="1" xr3:uid="{1AA68080-2EB6-5A4F-B279-2D1E284B1EE3}" name="customer_id"/>
    <tableColumn id="2" xr3:uid="{80552601-A045-D844-8A0D-059C1F82E07F}" name="customer_name"/>
    <tableColumn id="3" xr3:uid="{26B9DD57-9B55-EB48-BB63-A1068A95D887}" name="customer_type"/>
    <tableColumn id="4" xr3:uid="{5295DE88-B56E-2347-B923-62CC6D491030}" name="region"/>
    <tableColumn id="5" xr3:uid="{1B43AC2E-E1B8-004A-9B42-78753E4C0E19}" name="contact_person"/>
    <tableColumn id="6" xr3:uid="{894750CF-3756-A04F-A622-FE6921523452}" name="account_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AF7DC7-563D-154D-9D45-3EBEAB0507C8}" name="Table1" displayName="Table1" ref="A1:K1800" totalsRowShown="0" headerRowDxfId="13" headerRowBorderDxfId="12" tableBorderDxfId="11">
  <autoFilter ref="A1:K1800" xr:uid="{00000000-0001-0000-0400-000000000000}"/>
  <tableColumns count="11">
    <tableColumn id="1" xr3:uid="{56E5FFD2-9AEE-114E-AD6E-2DCEACE60B5D}" name="order_id"/>
    <tableColumn id="2" xr3:uid="{0537040A-1DE7-DA4E-94A6-073A4ED31FF4}" name="customer_id"/>
    <tableColumn id="3" xr3:uid="{3FF38BE1-B9B9-5841-B6D9-C738C6625161}" name="order_date" dataDxfId="10"/>
    <tableColumn id="4" xr3:uid="{A01CD0AC-A83D-BC44-8239-8884AE4F7DF6}" name="dispatch_date" dataDxfId="9"/>
    <tableColumn id="5" xr3:uid="{6732D82D-DA1E-6842-A522-EE4D644BCB40}" name="product_id"/>
    <tableColumn id="6" xr3:uid="{64534FD7-E867-074A-AF7E-A70A7EAA404C}" name="batch_id"/>
    <tableColumn id="7" xr3:uid="{B2513AA9-66D9-F04D-84D6-CC4848B8BDCF}" name="quantity_sold"/>
    <tableColumn id="8" xr3:uid="{3E6F02E5-6FAD-6246-9BE0-D38A9C3F215C}" name="sales_value"/>
    <tableColumn id="9" xr3:uid="{10B5A108-E6D8-7647-9CBF-30CF8CE53006}" name="delivery_region"/>
    <tableColumn id="10" xr3:uid="{19534A87-1B9F-494D-971F-2379D7470C53}" name="Note"/>
    <tableColumn id="11" xr3:uid="{DA63618C-12B7-9C46-894A-B757181B969F}" name="diff date" dataDxfId="8">
      <calculatedColumnFormula>IF(Table1[[#This Row],[dispatch_date]]-Table1[[#This Row],[order_date]] &gt;=0, TRUE, FALSE)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D29C7F-C223-9045-98C1-E437FB132245}" name="Table2" displayName="Table2" ref="A1:J101" totalsRowShown="0" headerRowDxfId="7" headerRowBorderDxfId="6" tableBorderDxfId="5">
  <autoFilter ref="A1:J101" xr:uid="{1CD29C7F-C223-9045-98C1-E437FB132245}"/>
  <tableColumns count="10">
    <tableColumn id="1" xr3:uid="{EDBA1C26-52E3-B14B-9C95-A3086E371BB7}" name="complaint_id"/>
    <tableColumn id="2" xr3:uid="{E97514B7-D66F-084A-92B9-777190904CE2}" name="customer_id"/>
    <tableColumn id="3" xr3:uid="{7797C4B5-7176-A140-9EEF-A0DCC67B6BEA}" name="product_id"/>
    <tableColumn id="4" xr3:uid="{CB0991E2-CDD4-2242-8643-15A288488D33}" name="batch_id"/>
    <tableColumn id="5" xr3:uid="{9A20CCC4-916A-C147-B74C-FADDBE0BD1B1}" name="complaint_date" dataDxfId="4"/>
    <tableColumn id="6" xr3:uid="{284D7BA3-8FE8-844E-89B0-9BE2A286ED7A}" name="complaint_type"/>
    <tableColumn id="7" xr3:uid="{744C7BE1-1332-7B47-AC5B-DAB43D52B339}" name="severity"/>
    <tableColumn id="8" xr3:uid="{893DBCA2-059A-614B-B54F-2BE44D85CEC5}" name="complaint_status"/>
    <tableColumn id="9" xr3:uid="{7E119990-6A16-3342-83C2-12BC2FD3595B}" name="resolution_days"/>
    <tableColumn id="10" xr3:uid="{0B572C1B-3F94-4446-B65B-ED07BA7EEBFF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EDA611-ED78-4B47-8FC9-8C96B4A5586D}" name="Table3" displayName="Table3" ref="A1:G64" totalsRowShown="0" headerRowDxfId="36" headerRowBorderDxfId="35" tableBorderDxfId="34">
  <autoFilter ref="A1:G64" xr:uid="{33EDA611-ED78-4B47-8FC9-8C96B4A5586D}"/>
  <tableColumns count="7">
    <tableColumn id="1" xr3:uid="{9F043513-A965-A34A-85A1-C3A1D921B607}" name="Column1"/>
    <tableColumn id="2" xr3:uid="{EED285A6-4FFF-B743-93C9-D2F6E0501C40}" name="supplier_id"/>
    <tableColumn id="3" xr3:uid="{C928300C-A6AB-084E-AE94-8329367E581E}" name="document_type"/>
    <tableColumn id="4" xr3:uid="{9C889420-3AD0-1D43-BB68-8038541C4CDA}" name="issue_date" dataDxfId="33"/>
    <tableColumn id="5" xr3:uid="{3DFD380C-C5E2-8A4B-B8D5-BEFB70A6764D}" name="expiry_date" dataDxfId="32"/>
    <tableColumn id="6" xr3:uid="{274F9D66-04F4-104F-AF8A-BC144BFF85C4}" name="document_status"/>
    <tableColumn id="7" xr3:uid="{CD3CC2D0-A891-1E43-BFD7-EBFF198B62CF}" name="related_categor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DE94E8-768F-6C49-A33D-1A62EAF307DC}" name="Table4" displayName="Table4" ref="A1:G31" totalsRowShown="0" headerRowDxfId="3" headerRowBorderDxfId="2" tableBorderDxfId="1">
  <autoFilter ref="A1:G31" xr:uid="{98DE94E8-768F-6C49-A33D-1A62EAF307DC}"/>
  <tableColumns count="7">
    <tableColumn id="1" xr3:uid="{8768879A-27DB-4D46-BE6A-E71CABC17BA5}" name="risk_id"/>
    <tableColumn id="2" xr3:uid="{E178D9D0-BD1C-D645-B517-1C7FB643AAA0}" name="batch_id"/>
    <tableColumn id="3" xr3:uid="{8E349FC1-CD62-2041-9296-5B4DD4C9C942}" name="risk_reason"/>
    <tableColumn id="4" xr3:uid="{4C4BCDB4-6517-4645-8814-A71F9E50A2BE}" name="risk_level"/>
    <tableColumn id="5" xr3:uid="{111C4ADE-7A10-074B-A119-A750517CC5CA}" name="date_identified" dataDxfId="0"/>
    <tableColumn id="6" xr3:uid="{264DF594-6A65-E948-BD05-E4FC426A7FD1}" name="action_required"/>
    <tableColumn id="7" xr3:uid="{0B68FC08-3515-2E44-902A-31C898DC9835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2101C0E-4EA5-754C-86B4-14676998715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19d7ff9-f795-4226-b06f-494acdcbf10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zoomScale="140" workbookViewId="0">
      <selection activeCell="U44" sqref="U44:W54"/>
    </sheetView>
  </sheetViews>
  <sheetFormatPr baseColWidth="10" defaultColWidth="8.83203125" defaultRowHeight="15" x14ac:dyDescent="0.2"/>
  <cols>
    <col min="1" max="1" width="10.5" bestFit="1" customWidth="1"/>
    <col min="2" max="2" width="24.5" bestFit="1" customWidth="1"/>
    <col min="3" max="3" width="16.6640625" bestFit="1" customWidth="1"/>
    <col min="4" max="4" width="14.33203125" bestFit="1" customWidth="1"/>
    <col min="5" max="5" width="12.5" bestFit="1" customWidth="1"/>
    <col min="6" max="6" width="11.5" style="4" bestFit="1" customWidth="1"/>
    <col min="7" max="7" width="14" style="3" bestFit="1" customWidth="1"/>
    <col min="8" max="8" width="12.6640625" bestFit="1" customWidth="1"/>
  </cols>
  <sheetData>
    <row r="1" spans="1:9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5" t="s">
        <v>5</v>
      </c>
      <c r="G1" s="16" t="s">
        <v>6</v>
      </c>
      <c r="H1" s="12" t="s">
        <v>7</v>
      </c>
      <c r="I1" s="1"/>
    </row>
    <row r="2" spans="1:9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4">
        <v>3.31</v>
      </c>
      <c r="G2" s="3">
        <v>6.03</v>
      </c>
      <c r="H2" t="s">
        <v>13</v>
      </c>
    </row>
    <row r="3" spans="1:9" x14ac:dyDescent="0.2">
      <c r="A3" t="s">
        <v>14</v>
      </c>
      <c r="B3" t="s">
        <v>15</v>
      </c>
      <c r="C3" t="s">
        <v>10</v>
      </c>
      <c r="D3" t="s">
        <v>16</v>
      </c>
      <c r="E3" t="s">
        <v>12</v>
      </c>
      <c r="F3" s="4">
        <v>2.0099999999999998</v>
      </c>
      <c r="G3" s="3">
        <v>3.65</v>
      </c>
      <c r="H3" t="s">
        <v>13</v>
      </c>
    </row>
    <row r="4" spans="1:9" x14ac:dyDescent="0.2">
      <c r="A4" t="s">
        <v>17</v>
      </c>
      <c r="B4" t="s">
        <v>18</v>
      </c>
      <c r="C4" t="s">
        <v>10</v>
      </c>
      <c r="D4" t="s">
        <v>11</v>
      </c>
      <c r="E4" t="s">
        <v>12</v>
      </c>
      <c r="F4" s="4">
        <v>3.43</v>
      </c>
      <c r="G4" s="3">
        <v>5.99</v>
      </c>
    </row>
    <row r="5" spans="1:9" x14ac:dyDescent="0.2">
      <c r="A5" t="s">
        <v>19</v>
      </c>
      <c r="B5" t="s">
        <v>20</v>
      </c>
      <c r="C5" t="s">
        <v>10</v>
      </c>
      <c r="D5" t="s">
        <v>11</v>
      </c>
      <c r="E5" t="s">
        <v>12</v>
      </c>
      <c r="F5" s="4">
        <v>1.3</v>
      </c>
      <c r="G5" s="3">
        <v>2.0299999999999998</v>
      </c>
      <c r="H5" t="s">
        <v>21</v>
      </c>
    </row>
    <row r="6" spans="1:9" x14ac:dyDescent="0.2">
      <c r="A6" t="s">
        <v>22</v>
      </c>
      <c r="B6" t="s">
        <v>23</v>
      </c>
      <c r="C6" t="s">
        <v>10</v>
      </c>
      <c r="D6" t="s">
        <v>24</v>
      </c>
      <c r="E6" t="s">
        <v>12</v>
      </c>
      <c r="F6" s="4">
        <v>2.87</v>
      </c>
      <c r="G6" s="3">
        <v>4.97</v>
      </c>
    </row>
    <row r="7" spans="1:9" x14ac:dyDescent="0.2">
      <c r="A7" t="s">
        <v>25</v>
      </c>
      <c r="B7" t="s">
        <v>26</v>
      </c>
      <c r="C7" t="s">
        <v>10</v>
      </c>
      <c r="D7" t="s">
        <v>27</v>
      </c>
      <c r="E7" t="s">
        <v>12</v>
      </c>
      <c r="F7" s="4">
        <v>3.56</v>
      </c>
      <c r="G7" s="3">
        <v>5.55</v>
      </c>
      <c r="H7" t="s">
        <v>13</v>
      </c>
    </row>
    <row r="8" spans="1:9" x14ac:dyDescent="0.2">
      <c r="A8" t="s">
        <v>28</v>
      </c>
      <c r="B8" t="s">
        <v>29</v>
      </c>
      <c r="C8" t="s">
        <v>10</v>
      </c>
      <c r="D8" t="s">
        <v>24</v>
      </c>
      <c r="E8" t="s">
        <v>12</v>
      </c>
      <c r="F8" s="4">
        <v>3.14</v>
      </c>
      <c r="G8" s="3">
        <v>5.74</v>
      </c>
      <c r="H8" t="s">
        <v>13</v>
      </c>
    </row>
    <row r="9" spans="1:9" x14ac:dyDescent="0.2">
      <c r="A9" t="s">
        <v>30</v>
      </c>
      <c r="B9" t="s">
        <v>31</v>
      </c>
      <c r="C9" t="s">
        <v>32</v>
      </c>
      <c r="D9" t="s">
        <v>27</v>
      </c>
      <c r="E9" t="s">
        <v>12</v>
      </c>
      <c r="F9" s="4">
        <v>1.48</v>
      </c>
      <c r="G9" s="3">
        <v>2.4</v>
      </c>
      <c r="H9" t="s">
        <v>13</v>
      </c>
    </row>
    <row r="10" spans="1:9" x14ac:dyDescent="0.2">
      <c r="A10" t="s">
        <v>33</v>
      </c>
      <c r="B10" t="s">
        <v>34</v>
      </c>
      <c r="C10" t="s">
        <v>32</v>
      </c>
      <c r="D10" t="s">
        <v>35</v>
      </c>
      <c r="E10" t="s">
        <v>12</v>
      </c>
      <c r="F10" s="4">
        <v>1.47</v>
      </c>
      <c r="G10" s="3">
        <v>2.21</v>
      </c>
      <c r="H10" t="s">
        <v>13</v>
      </c>
    </row>
    <row r="11" spans="1:9" x14ac:dyDescent="0.2">
      <c r="A11" t="s">
        <v>36</v>
      </c>
      <c r="B11" t="s">
        <v>37</v>
      </c>
      <c r="C11" t="s">
        <v>32</v>
      </c>
      <c r="D11" t="s">
        <v>35</v>
      </c>
      <c r="E11" t="s">
        <v>12</v>
      </c>
      <c r="F11" s="4">
        <v>2.14</v>
      </c>
      <c r="G11" s="3">
        <v>1.71</v>
      </c>
      <c r="H11" t="s">
        <v>13</v>
      </c>
    </row>
    <row r="12" spans="1:9" x14ac:dyDescent="0.2">
      <c r="A12" t="s">
        <v>38</v>
      </c>
      <c r="B12" t="s">
        <v>39</v>
      </c>
      <c r="C12" t="s">
        <v>32</v>
      </c>
      <c r="D12" t="s">
        <v>24</v>
      </c>
      <c r="E12" t="s">
        <v>12</v>
      </c>
      <c r="F12" s="4">
        <v>2.81</v>
      </c>
      <c r="G12" s="3">
        <v>5.0999999999999996</v>
      </c>
      <c r="H12" t="s">
        <v>13</v>
      </c>
    </row>
    <row r="13" spans="1:9" x14ac:dyDescent="0.2">
      <c r="A13" t="s">
        <v>40</v>
      </c>
      <c r="B13" t="s">
        <v>41</v>
      </c>
      <c r="C13" t="s">
        <v>32</v>
      </c>
      <c r="D13" t="s">
        <v>27</v>
      </c>
      <c r="E13" t="s">
        <v>12</v>
      </c>
      <c r="F13" s="4">
        <v>2.61</v>
      </c>
      <c r="G13" s="3">
        <v>3.89</v>
      </c>
      <c r="H13" t="s">
        <v>13</v>
      </c>
    </row>
    <row r="14" spans="1:9" x14ac:dyDescent="0.2">
      <c r="A14" t="s">
        <v>42</v>
      </c>
      <c r="B14" t="s">
        <v>43</v>
      </c>
      <c r="C14" t="s">
        <v>32</v>
      </c>
      <c r="D14" t="s">
        <v>35</v>
      </c>
      <c r="E14" t="s">
        <v>12</v>
      </c>
      <c r="F14" s="4">
        <v>1.88</v>
      </c>
      <c r="G14" s="3">
        <v>3.27</v>
      </c>
      <c r="H14" t="s">
        <v>13</v>
      </c>
    </row>
    <row r="15" spans="1:9" x14ac:dyDescent="0.2">
      <c r="A15" t="s">
        <v>44</v>
      </c>
      <c r="B15" t="s">
        <v>45</v>
      </c>
      <c r="C15" t="s">
        <v>46</v>
      </c>
      <c r="D15" t="s">
        <v>24</v>
      </c>
      <c r="E15" t="s">
        <v>47</v>
      </c>
      <c r="F15" s="4">
        <v>3.4</v>
      </c>
      <c r="G15" s="3">
        <v>6.05</v>
      </c>
      <c r="H15" t="s">
        <v>13</v>
      </c>
    </row>
    <row r="16" spans="1:9" x14ac:dyDescent="0.2">
      <c r="A16" t="s">
        <v>48</v>
      </c>
      <c r="B16" t="s">
        <v>49</v>
      </c>
      <c r="C16" t="s">
        <v>46</v>
      </c>
      <c r="D16" t="s">
        <v>11</v>
      </c>
      <c r="E16" t="s">
        <v>47</v>
      </c>
      <c r="F16" s="4">
        <v>3.59</v>
      </c>
      <c r="G16" s="3">
        <v>6.74</v>
      </c>
      <c r="H16" t="s">
        <v>21</v>
      </c>
    </row>
    <row r="17" spans="1:8" x14ac:dyDescent="0.2">
      <c r="A17" t="s">
        <v>50</v>
      </c>
      <c r="B17" t="s">
        <v>51</v>
      </c>
      <c r="C17" t="s">
        <v>46</v>
      </c>
      <c r="D17" s="5"/>
      <c r="E17" t="s">
        <v>47</v>
      </c>
      <c r="F17" s="4">
        <v>3.84</v>
      </c>
      <c r="G17" s="3">
        <v>6.1</v>
      </c>
      <c r="H17" t="s">
        <v>13</v>
      </c>
    </row>
    <row r="18" spans="1:8" x14ac:dyDescent="0.2">
      <c r="A18" t="s">
        <v>52</v>
      </c>
      <c r="B18" t="s">
        <v>53</v>
      </c>
      <c r="C18" t="s">
        <v>46</v>
      </c>
      <c r="D18" t="s">
        <v>35</v>
      </c>
      <c r="E18" t="s">
        <v>47</v>
      </c>
      <c r="F18" s="4">
        <v>3.22</v>
      </c>
      <c r="G18" s="3">
        <v>4.93</v>
      </c>
      <c r="H18" t="s">
        <v>13</v>
      </c>
    </row>
    <row r="19" spans="1:8" x14ac:dyDescent="0.2">
      <c r="A19" t="s">
        <v>54</v>
      </c>
      <c r="B19" t="s">
        <v>55</v>
      </c>
      <c r="C19" t="s">
        <v>46</v>
      </c>
      <c r="D19" s="5"/>
      <c r="E19" t="s">
        <v>47</v>
      </c>
      <c r="F19" s="4">
        <v>2.46</v>
      </c>
      <c r="G19" s="3">
        <v>4.43</v>
      </c>
      <c r="H19" t="s">
        <v>13</v>
      </c>
    </row>
    <row r="20" spans="1:8" x14ac:dyDescent="0.2">
      <c r="A20" t="s">
        <v>56</v>
      </c>
      <c r="B20" t="s">
        <v>57</v>
      </c>
      <c r="C20" t="s">
        <v>46</v>
      </c>
      <c r="D20" t="s">
        <v>11</v>
      </c>
      <c r="E20" t="s">
        <v>47</v>
      </c>
      <c r="F20" s="4">
        <v>3.35</v>
      </c>
      <c r="G20" s="3">
        <v>5.88</v>
      </c>
      <c r="H20" t="s">
        <v>13</v>
      </c>
    </row>
    <row r="21" spans="1:8" x14ac:dyDescent="0.2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s="4">
        <v>4.1100000000000003</v>
      </c>
      <c r="G21" s="3">
        <v>6.3</v>
      </c>
      <c r="H21" t="s">
        <v>13</v>
      </c>
    </row>
    <row r="22" spans="1:8" x14ac:dyDescent="0.2">
      <c r="A22" t="s">
        <v>63</v>
      </c>
      <c r="B22" t="s">
        <v>64</v>
      </c>
      <c r="C22" t="s">
        <v>60</v>
      </c>
      <c r="D22" t="s">
        <v>61</v>
      </c>
      <c r="E22" t="s">
        <v>62</v>
      </c>
      <c r="F22" s="4">
        <v>5.47</v>
      </c>
      <c r="G22" s="3">
        <v>9.8000000000000007</v>
      </c>
      <c r="H22" t="s">
        <v>13</v>
      </c>
    </row>
    <row r="23" spans="1:8" x14ac:dyDescent="0.2">
      <c r="A23" t="s">
        <v>65</v>
      </c>
      <c r="B23" t="s">
        <v>66</v>
      </c>
      <c r="C23" t="s">
        <v>60</v>
      </c>
      <c r="D23" t="s">
        <v>24</v>
      </c>
      <c r="E23" t="s">
        <v>62</v>
      </c>
      <c r="F23" s="4">
        <v>8.48</v>
      </c>
      <c r="G23" s="3">
        <v>13.27</v>
      </c>
    </row>
    <row r="24" spans="1:8" x14ac:dyDescent="0.2">
      <c r="A24" t="s">
        <v>67</v>
      </c>
      <c r="B24" t="s">
        <v>68</v>
      </c>
      <c r="C24" t="s">
        <v>60</v>
      </c>
      <c r="D24" t="s">
        <v>35</v>
      </c>
      <c r="E24" t="s">
        <v>62</v>
      </c>
      <c r="F24" s="4">
        <v>3.21</v>
      </c>
      <c r="G24" s="3">
        <v>5.3</v>
      </c>
      <c r="H24" t="s">
        <v>13</v>
      </c>
    </row>
    <row r="25" spans="1:8" x14ac:dyDescent="0.2">
      <c r="A25" t="s">
        <v>69</v>
      </c>
      <c r="B25" t="s">
        <v>70</v>
      </c>
      <c r="C25" t="s">
        <v>60</v>
      </c>
      <c r="D25" t="s">
        <v>35</v>
      </c>
      <c r="E25" t="s">
        <v>62</v>
      </c>
      <c r="F25" s="4">
        <v>3.43</v>
      </c>
      <c r="G25" s="3">
        <v>5.34</v>
      </c>
      <c r="H25" t="s">
        <v>13</v>
      </c>
    </row>
    <row r="26" spans="1:8" x14ac:dyDescent="0.2">
      <c r="A26" t="s">
        <v>71</v>
      </c>
      <c r="B26" t="s">
        <v>72</v>
      </c>
      <c r="C26" t="s">
        <v>60</v>
      </c>
      <c r="D26" t="s">
        <v>73</v>
      </c>
      <c r="E26" t="s">
        <v>62</v>
      </c>
      <c r="F26" s="4">
        <v>6.25</v>
      </c>
      <c r="G26" s="3">
        <v>9.51</v>
      </c>
      <c r="H26" t="s">
        <v>13</v>
      </c>
    </row>
    <row r="27" spans="1:8" x14ac:dyDescent="0.2">
      <c r="A27" t="s">
        <v>74</v>
      </c>
      <c r="B27" t="s">
        <v>75</v>
      </c>
      <c r="C27" t="s">
        <v>76</v>
      </c>
      <c r="D27" t="s">
        <v>77</v>
      </c>
      <c r="E27" t="s">
        <v>47</v>
      </c>
      <c r="F27" s="4">
        <v>1.18</v>
      </c>
      <c r="G27" s="3">
        <v>2.15</v>
      </c>
      <c r="H27" t="s">
        <v>13</v>
      </c>
    </row>
    <row r="28" spans="1:8" x14ac:dyDescent="0.2">
      <c r="A28" t="s">
        <v>78</v>
      </c>
      <c r="B28" t="s">
        <v>79</v>
      </c>
      <c r="C28" t="s">
        <v>76</v>
      </c>
      <c r="D28" t="s">
        <v>27</v>
      </c>
      <c r="E28" t="s">
        <v>47</v>
      </c>
      <c r="F28" s="4">
        <v>1.96</v>
      </c>
      <c r="G28" s="3">
        <v>3.2</v>
      </c>
      <c r="H28" t="s">
        <v>13</v>
      </c>
    </row>
    <row r="29" spans="1:8" x14ac:dyDescent="0.2">
      <c r="A29" t="s">
        <v>80</v>
      </c>
      <c r="B29" t="s">
        <v>81</v>
      </c>
      <c r="C29" t="s">
        <v>76</v>
      </c>
      <c r="D29" t="s">
        <v>16</v>
      </c>
      <c r="E29" t="s">
        <v>47</v>
      </c>
      <c r="F29" s="4">
        <v>3.49</v>
      </c>
      <c r="G29" s="3">
        <v>5.95</v>
      </c>
      <c r="H29" t="s">
        <v>13</v>
      </c>
    </row>
    <row r="30" spans="1:8" x14ac:dyDescent="0.2">
      <c r="A30" t="s">
        <v>82</v>
      </c>
      <c r="B30" t="s">
        <v>83</v>
      </c>
      <c r="C30" t="s">
        <v>76</v>
      </c>
      <c r="D30" t="s">
        <v>24</v>
      </c>
      <c r="E30" t="s">
        <v>47</v>
      </c>
      <c r="F30" s="4">
        <v>1.05</v>
      </c>
      <c r="G30" s="3">
        <v>1.97</v>
      </c>
      <c r="H30" t="s">
        <v>13</v>
      </c>
    </row>
    <row r="31" spans="1:8" x14ac:dyDescent="0.2">
      <c r="A31" t="s">
        <v>84</v>
      </c>
      <c r="B31" t="s">
        <v>85</v>
      </c>
      <c r="C31" t="s">
        <v>76</v>
      </c>
      <c r="D31" t="s">
        <v>16</v>
      </c>
      <c r="E31" t="s">
        <v>47</v>
      </c>
      <c r="F31" s="4">
        <v>1.21</v>
      </c>
      <c r="G31" s="3">
        <v>2.23</v>
      </c>
      <c r="H31" t="s">
        <v>13</v>
      </c>
    </row>
    <row r="32" spans="1:8" x14ac:dyDescent="0.2">
      <c r="A32" t="s">
        <v>86</v>
      </c>
      <c r="B32" t="s">
        <v>87</v>
      </c>
      <c r="C32" t="s">
        <v>76</v>
      </c>
      <c r="D32" t="s">
        <v>11</v>
      </c>
      <c r="E32" t="s">
        <v>47</v>
      </c>
      <c r="F32" s="4">
        <v>1.94</v>
      </c>
      <c r="G32" s="3">
        <v>3.19</v>
      </c>
      <c r="H32" t="s">
        <v>13</v>
      </c>
    </row>
    <row r="33" spans="1:8" x14ac:dyDescent="0.2">
      <c r="A33" t="s">
        <v>88</v>
      </c>
      <c r="B33" t="s">
        <v>89</v>
      </c>
      <c r="C33" t="s">
        <v>76</v>
      </c>
      <c r="D33" t="s">
        <v>73</v>
      </c>
      <c r="E33" t="s">
        <v>47</v>
      </c>
      <c r="F33" s="4">
        <v>2.41</v>
      </c>
      <c r="G33" s="3">
        <v>4.13</v>
      </c>
      <c r="H33" t="s">
        <v>13</v>
      </c>
    </row>
    <row r="34" spans="1:8" x14ac:dyDescent="0.2">
      <c r="A34" t="s">
        <v>90</v>
      </c>
      <c r="B34" t="s">
        <v>91</v>
      </c>
      <c r="C34" t="s">
        <v>92</v>
      </c>
      <c r="D34" s="5"/>
      <c r="E34" t="s">
        <v>47</v>
      </c>
      <c r="F34" s="4">
        <v>4.6900000000000004</v>
      </c>
      <c r="G34" s="3">
        <v>8.4</v>
      </c>
      <c r="H34" t="s">
        <v>13</v>
      </c>
    </row>
    <row r="35" spans="1:8" x14ac:dyDescent="0.2">
      <c r="A35" t="s">
        <v>93</v>
      </c>
      <c r="B35" t="s">
        <v>94</v>
      </c>
      <c r="C35" t="s">
        <v>92</v>
      </c>
      <c r="D35" t="s">
        <v>77</v>
      </c>
      <c r="E35" t="s">
        <v>47</v>
      </c>
      <c r="F35" s="4">
        <v>1.52</v>
      </c>
      <c r="G35" s="3">
        <v>2.79</v>
      </c>
      <c r="H35" t="s">
        <v>13</v>
      </c>
    </row>
    <row r="36" spans="1:8" x14ac:dyDescent="0.2">
      <c r="A36" t="s">
        <v>95</v>
      </c>
      <c r="B36" t="s">
        <v>96</v>
      </c>
      <c r="C36" t="s">
        <v>92</v>
      </c>
      <c r="D36" t="s">
        <v>77</v>
      </c>
      <c r="E36" t="s">
        <v>47</v>
      </c>
      <c r="F36" s="4">
        <v>2.36</v>
      </c>
      <c r="G36" s="3">
        <v>3.94</v>
      </c>
      <c r="H36" t="s">
        <v>13</v>
      </c>
    </row>
    <row r="37" spans="1:8" x14ac:dyDescent="0.2">
      <c r="A37" t="s">
        <v>97</v>
      </c>
      <c r="B37" t="s">
        <v>98</v>
      </c>
      <c r="C37" t="s">
        <v>92</v>
      </c>
      <c r="D37" t="s">
        <v>77</v>
      </c>
      <c r="E37" t="s">
        <v>47</v>
      </c>
      <c r="F37" s="4">
        <v>2.78</v>
      </c>
      <c r="G37" s="3">
        <v>5.38</v>
      </c>
      <c r="H37" t="s">
        <v>13</v>
      </c>
    </row>
    <row r="38" spans="1:8" x14ac:dyDescent="0.2">
      <c r="A38" t="s">
        <v>99</v>
      </c>
      <c r="B38" t="s">
        <v>100</v>
      </c>
      <c r="C38" t="s">
        <v>92</v>
      </c>
      <c r="D38" t="s">
        <v>11</v>
      </c>
      <c r="E38" t="s">
        <v>47</v>
      </c>
      <c r="F38" s="4">
        <v>3.92</v>
      </c>
      <c r="G38" s="3">
        <v>7.39</v>
      </c>
      <c r="H38" t="s">
        <v>13</v>
      </c>
    </row>
    <row r="39" spans="1:8" x14ac:dyDescent="0.2">
      <c r="A39" t="s">
        <v>101</v>
      </c>
      <c r="B39" t="s">
        <v>102</v>
      </c>
      <c r="C39" t="s">
        <v>92</v>
      </c>
      <c r="D39" t="s">
        <v>61</v>
      </c>
      <c r="E39" t="s">
        <v>47</v>
      </c>
      <c r="F39" s="4">
        <v>2.2000000000000002</v>
      </c>
      <c r="G39" s="3">
        <v>3.36</v>
      </c>
      <c r="H39" t="s">
        <v>13</v>
      </c>
    </row>
    <row r="40" spans="1:8" x14ac:dyDescent="0.2">
      <c r="A40" t="s">
        <v>103</v>
      </c>
      <c r="B40" t="s">
        <v>104</v>
      </c>
      <c r="C40" t="s">
        <v>107</v>
      </c>
      <c r="D40" t="s">
        <v>24</v>
      </c>
      <c r="E40" t="s">
        <v>47</v>
      </c>
      <c r="F40" s="4">
        <v>4.12</v>
      </c>
      <c r="G40" s="3">
        <v>7.21</v>
      </c>
      <c r="H40" t="s">
        <v>13</v>
      </c>
    </row>
    <row r="41" spans="1:8" x14ac:dyDescent="0.2">
      <c r="A41" t="s">
        <v>105</v>
      </c>
      <c r="B41" t="s">
        <v>106</v>
      </c>
      <c r="C41" t="s">
        <v>107</v>
      </c>
      <c r="D41" t="s">
        <v>11</v>
      </c>
      <c r="E41" t="s">
        <v>47</v>
      </c>
      <c r="F41" s="4">
        <v>3.11</v>
      </c>
      <c r="G41" s="3">
        <v>5.95</v>
      </c>
      <c r="H41" t="s">
        <v>13</v>
      </c>
    </row>
    <row r="42" spans="1:8" x14ac:dyDescent="0.2">
      <c r="A42" t="s">
        <v>108</v>
      </c>
      <c r="B42" t="s">
        <v>109</v>
      </c>
      <c r="C42" t="s">
        <v>107</v>
      </c>
      <c r="D42" t="s">
        <v>77</v>
      </c>
      <c r="E42" t="s">
        <v>47</v>
      </c>
      <c r="F42" s="4">
        <v>4.55</v>
      </c>
      <c r="G42" s="3">
        <v>7.14</v>
      </c>
      <c r="H42" t="s">
        <v>21</v>
      </c>
    </row>
    <row r="43" spans="1:8" x14ac:dyDescent="0.2">
      <c r="A43" t="s">
        <v>110</v>
      </c>
      <c r="B43" t="s">
        <v>111</v>
      </c>
      <c r="C43" t="s">
        <v>107</v>
      </c>
      <c r="D43" t="s">
        <v>11</v>
      </c>
      <c r="E43" t="s">
        <v>47</v>
      </c>
      <c r="F43" s="4">
        <v>2.19</v>
      </c>
      <c r="G43" s="3">
        <v>3.27</v>
      </c>
      <c r="H43" t="s">
        <v>13</v>
      </c>
    </row>
    <row r="44" spans="1:8" x14ac:dyDescent="0.2">
      <c r="A44" t="s">
        <v>112</v>
      </c>
      <c r="B44" t="s">
        <v>113</v>
      </c>
      <c r="C44" t="s">
        <v>107</v>
      </c>
      <c r="D44" t="s">
        <v>11</v>
      </c>
      <c r="E44" t="s">
        <v>47</v>
      </c>
      <c r="F44" s="4">
        <v>3.1</v>
      </c>
      <c r="G44" s="3">
        <v>6.01</v>
      </c>
      <c r="H44" t="s">
        <v>13</v>
      </c>
    </row>
    <row r="45" spans="1:8" x14ac:dyDescent="0.2">
      <c r="A45" t="s">
        <v>114</v>
      </c>
      <c r="B45" t="s">
        <v>115</v>
      </c>
      <c r="C45" t="s">
        <v>107</v>
      </c>
      <c r="D45" t="s">
        <v>16</v>
      </c>
      <c r="E45" t="s">
        <v>47</v>
      </c>
      <c r="F45" s="4">
        <v>3.27</v>
      </c>
      <c r="G45" s="3">
        <v>4.95</v>
      </c>
      <c r="H45" t="s">
        <v>13</v>
      </c>
    </row>
    <row r="46" spans="1:8" x14ac:dyDescent="0.2">
      <c r="A46" t="s">
        <v>116</v>
      </c>
      <c r="B46" t="s">
        <v>117</v>
      </c>
      <c r="C46" t="s">
        <v>107</v>
      </c>
      <c r="D46" t="s">
        <v>16</v>
      </c>
      <c r="E46" t="s">
        <v>47</v>
      </c>
      <c r="F46" s="4">
        <v>3.06</v>
      </c>
      <c r="G46" s="3">
        <v>4.84</v>
      </c>
      <c r="H46" t="s">
        <v>13</v>
      </c>
    </row>
    <row r="47" spans="1:8" x14ac:dyDescent="0.2">
      <c r="A47" t="s">
        <v>118</v>
      </c>
      <c r="B47" t="s">
        <v>119</v>
      </c>
      <c r="C47" t="s">
        <v>120</v>
      </c>
      <c r="D47" t="s">
        <v>27</v>
      </c>
      <c r="E47" t="s">
        <v>47</v>
      </c>
      <c r="F47" s="4">
        <v>6.8</v>
      </c>
      <c r="G47" s="3">
        <v>13.14</v>
      </c>
      <c r="H47" t="s">
        <v>21</v>
      </c>
    </row>
    <row r="48" spans="1:8" x14ac:dyDescent="0.2">
      <c r="A48" t="s">
        <v>121</v>
      </c>
      <c r="B48" t="s">
        <v>122</v>
      </c>
      <c r="C48" t="s">
        <v>120</v>
      </c>
      <c r="D48" t="s">
        <v>61</v>
      </c>
      <c r="E48" t="s">
        <v>47</v>
      </c>
      <c r="F48" s="4">
        <v>7.11</v>
      </c>
      <c r="G48" s="3">
        <v>12.84</v>
      </c>
      <c r="H48" t="s">
        <v>13</v>
      </c>
    </row>
    <row r="49" spans="1:8" x14ac:dyDescent="0.2">
      <c r="A49" t="s">
        <v>123</v>
      </c>
      <c r="B49" t="s">
        <v>124</v>
      </c>
      <c r="C49" t="s">
        <v>120</v>
      </c>
      <c r="D49" t="s">
        <v>35</v>
      </c>
      <c r="E49" t="s">
        <v>47</v>
      </c>
      <c r="F49" s="4">
        <v>4.1900000000000004</v>
      </c>
      <c r="G49" s="3">
        <v>6.99</v>
      </c>
      <c r="H49" t="s">
        <v>13</v>
      </c>
    </row>
    <row r="50" spans="1:8" x14ac:dyDescent="0.2">
      <c r="A50" t="s">
        <v>125</v>
      </c>
      <c r="B50" t="s">
        <v>126</v>
      </c>
      <c r="C50" t="s">
        <v>120</v>
      </c>
      <c r="D50" t="s">
        <v>11</v>
      </c>
      <c r="E50" t="s">
        <v>47</v>
      </c>
      <c r="F50" s="4">
        <v>4.8499999999999996</v>
      </c>
      <c r="G50" s="3">
        <v>7.63</v>
      </c>
      <c r="H50" t="s">
        <v>13</v>
      </c>
    </row>
    <row r="51" spans="1:8" x14ac:dyDescent="0.2">
      <c r="A51" t="s">
        <v>127</v>
      </c>
      <c r="B51" t="s">
        <v>128</v>
      </c>
      <c r="C51" t="s">
        <v>120</v>
      </c>
      <c r="D51" t="s">
        <v>24</v>
      </c>
      <c r="E51" t="s">
        <v>47</v>
      </c>
      <c r="F51" s="4">
        <v>2.35</v>
      </c>
      <c r="G51" s="3">
        <v>4.0999999999999996</v>
      </c>
      <c r="H51" t="s">
        <v>13</v>
      </c>
    </row>
    <row r="52" spans="1:8" x14ac:dyDescent="0.2">
      <c r="A52" t="s">
        <v>129</v>
      </c>
      <c r="B52" t="s">
        <v>130</v>
      </c>
      <c r="C52" t="s">
        <v>120</v>
      </c>
      <c r="D52" t="s">
        <v>61</v>
      </c>
      <c r="E52" t="s">
        <v>47</v>
      </c>
      <c r="F52" s="4">
        <v>3.27</v>
      </c>
      <c r="G52" s="3">
        <v>4.75</v>
      </c>
      <c r="H52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zoomScale="186" workbookViewId="0">
      <selection activeCell="B22" sqref="B22"/>
    </sheetView>
  </sheetViews>
  <sheetFormatPr baseColWidth="10" defaultColWidth="8.83203125" defaultRowHeight="15" x14ac:dyDescent="0.2"/>
  <cols>
    <col min="1" max="1" width="10.83203125" bestFit="1" customWidth="1"/>
    <col min="2" max="2" width="22.5" bestFit="1" customWidth="1"/>
    <col min="3" max="3" width="12.1640625" bestFit="1" customWidth="1"/>
    <col min="4" max="4" width="14.5" bestFit="1" customWidth="1"/>
    <col min="5" max="5" width="14.1640625" bestFit="1" customWidth="1"/>
    <col min="6" max="6" width="14.83203125" style="7" bestFit="1" customWidth="1"/>
    <col min="7" max="7" width="18" bestFit="1" customWidth="1"/>
    <col min="8" max="8" width="10.83203125" bestFit="1" customWidth="1"/>
    <col min="9" max="9" width="13" bestFit="1" customWidth="1"/>
  </cols>
  <sheetData>
    <row r="1" spans="1:9" x14ac:dyDescent="0.2">
      <c r="A1" s="12" t="s">
        <v>131</v>
      </c>
      <c r="B1" s="12" t="s">
        <v>132</v>
      </c>
      <c r="C1" s="12" t="s">
        <v>133</v>
      </c>
      <c r="D1" s="12" t="s">
        <v>134</v>
      </c>
      <c r="E1" s="12" t="s">
        <v>135</v>
      </c>
      <c r="F1" s="17" t="s">
        <v>136</v>
      </c>
      <c r="G1" s="12" t="s">
        <v>137</v>
      </c>
      <c r="H1" s="12" t="s">
        <v>3126</v>
      </c>
      <c r="I1" s="6"/>
    </row>
    <row r="2" spans="1:9" x14ac:dyDescent="0.2">
      <c r="A2" t="s">
        <v>138</v>
      </c>
      <c r="B2" t="s">
        <v>139</v>
      </c>
      <c r="C2" t="s">
        <v>140</v>
      </c>
      <c r="D2">
        <v>3</v>
      </c>
      <c r="E2" t="s">
        <v>10</v>
      </c>
      <c r="F2" s="9">
        <v>45821</v>
      </c>
      <c r="G2" t="s">
        <v>141</v>
      </c>
      <c r="I2" s="7"/>
    </row>
    <row r="3" spans="1:9" x14ac:dyDescent="0.2">
      <c r="A3" t="s">
        <v>142</v>
      </c>
      <c r="B3" t="s">
        <v>143</v>
      </c>
      <c r="C3" t="s">
        <v>144</v>
      </c>
      <c r="D3">
        <v>4</v>
      </c>
      <c r="E3" t="s">
        <v>107</v>
      </c>
      <c r="F3" s="9">
        <v>45905</v>
      </c>
      <c r="G3" t="s">
        <v>141</v>
      </c>
      <c r="I3" s="7"/>
    </row>
    <row r="4" spans="1:9" x14ac:dyDescent="0.2">
      <c r="A4" t="s">
        <v>145</v>
      </c>
      <c r="B4" t="s">
        <v>146</v>
      </c>
      <c r="C4" t="s">
        <v>144</v>
      </c>
      <c r="D4" s="18"/>
      <c r="E4" t="s">
        <v>107</v>
      </c>
      <c r="F4" s="9">
        <v>45920</v>
      </c>
      <c r="G4" t="s">
        <v>141</v>
      </c>
      <c r="I4" s="7"/>
    </row>
    <row r="5" spans="1:9" x14ac:dyDescent="0.2">
      <c r="A5" t="s">
        <v>147</v>
      </c>
      <c r="B5" t="s">
        <v>148</v>
      </c>
      <c r="C5" t="s">
        <v>144</v>
      </c>
      <c r="D5">
        <v>3</v>
      </c>
      <c r="E5" t="s">
        <v>120</v>
      </c>
      <c r="F5" s="9">
        <v>45485</v>
      </c>
      <c r="G5" t="s">
        <v>149</v>
      </c>
      <c r="I5" s="7"/>
    </row>
    <row r="6" spans="1:9" x14ac:dyDescent="0.2">
      <c r="A6" t="s">
        <v>150</v>
      </c>
      <c r="B6" t="s">
        <v>151</v>
      </c>
      <c r="C6" t="s">
        <v>144</v>
      </c>
      <c r="D6">
        <v>5</v>
      </c>
      <c r="E6" t="s">
        <v>32</v>
      </c>
      <c r="F6" s="11"/>
      <c r="G6" t="s">
        <v>141</v>
      </c>
      <c r="I6" s="8"/>
    </row>
    <row r="7" spans="1:9" x14ac:dyDescent="0.2">
      <c r="A7" t="s">
        <v>152</v>
      </c>
      <c r="B7" t="s">
        <v>153</v>
      </c>
      <c r="C7" t="s">
        <v>144</v>
      </c>
      <c r="D7" s="19">
        <v>0</v>
      </c>
      <c r="E7" t="s">
        <v>107</v>
      </c>
      <c r="F7" s="9">
        <v>45326</v>
      </c>
      <c r="G7" t="s">
        <v>149</v>
      </c>
      <c r="H7" t="s">
        <v>3133</v>
      </c>
      <c r="I7" s="7"/>
    </row>
    <row r="8" spans="1:9" x14ac:dyDescent="0.2">
      <c r="A8" t="s">
        <v>154</v>
      </c>
      <c r="B8" t="s">
        <v>155</v>
      </c>
      <c r="C8" t="s">
        <v>144</v>
      </c>
      <c r="D8">
        <v>5</v>
      </c>
      <c r="E8" t="s">
        <v>10</v>
      </c>
      <c r="F8" s="9">
        <v>45291</v>
      </c>
      <c r="G8" t="s">
        <v>149</v>
      </c>
      <c r="I8" s="7"/>
    </row>
    <row r="9" spans="1:9" x14ac:dyDescent="0.2">
      <c r="A9" t="s">
        <v>156</v>
      </c>
      <c r="B9" t="s">
        <v>157</v>
      </c>
      <c r="C9" t="s">
        <v>140</v>
      </c>
      <c r="D9">
        <v>5</v>
      </c>
      <c r="E9" t="s">
        <v>46</v>
      </c>
      <c r="F9" s="9">
        <v>45523</v>
      </c>
      <c r="G9" t="s">
        <v>141</v>
      </c>
      <c r="I9" s="7"/>
    </row>
    <row r="10" spans="1:9" x14ac:dyDescent="0.2">
      <c r="A10" t="s">
        <v>158</v>
      </c>
      <c r="B10" t="s">
        <v>159</v>
      </c>
      <c r="C10" t="s">
        <v>144</v>
      </c>
      <c r="D10">
        <v>4</v>
      </c>
      <c r="E10" t="s">
        <v>10</v>
      </c>
      <c r="F10" s="11"/>
      <c r="G10" t="s">
        <v>149</v>
      </c>
      <c r="I10" s="8"/>
    </row>
    <row r="11" spans="1:9" x14ac:dyDescent="0.2">
      <c r="A11" t="s">
        <v>160</v>
      </c>
      <c r="B11" t="s">
        <v>161</v>
      </c>
      <c r="C11" t="s">
        <v>144</v>
      </c>
      <c r="D11" s="19">
        <v>6</v>
      </c>
      <c r="E11" t="s">
        <v>32</v>
      </c>
      <c r="F11" s="9">
        <v>45745</v>
      </c>
      <c r="G11" t="s">
        <v>141</v>
      </c>
      <c r="H11" t="s">
        <v>3133</v>
      </c>
      <c r="I11" s="7"/>
    </row>
    <row r="12" spans="1:9" x14ac:dyDescent="0.2">
      <c r="A12" t="s">
        <v>162</v>
      </c>
      <c r="B12" t="s">
        <v>163</v>
      </c>
      <c r="C12" t="s">
        <v>144</v>
      </c>
      <c r="D12">
        <v>5</v>
      </c>
      <c r="E12" t="s">
        <v>32</v>
      </c>
      <c r="F12" s="9">
        <v>45922</v>
      </c>
      <c r="G12" t="s">
        <v>141</v>
      </c>
      <c r="I12" s="7"/>
    </row>
    <row r="13" spans="1:9" x14ac:dyDescent="0.2">
      <c r="A13" t="s">
        <v>164</v>
      </c>
      <c r="B13" t="s">
        <v>165</v>
      </c>
      <c r="C13" t="s">
        <v>144</v>
      </c>
      <c r="D13">
        <v>5</v>
      </c>
      <c r="E13" t="s">
        <v>92</v>
      </c>
      <c r="F13" s="9">
        <v>45865</v>
      </c>
      <c r="G13" t="s">
        <v>141</v>
      </c>
      <c r="I13" s="7"/>
    </row>
    <row r="14" spans="1:9" x14ac:dyDescent="0.2">
      <c r="A14" t="s">
        <v>166</v>
      </c>
      <c r="B14" t="s">
        <v>167</v>
      </c>
      <c r="C14" t="s">
        <v>144</v>
      </c>
      <c r="D14">
        <v>5</v>
      </c>
      <c r="E14" t="s">
        <v>46</v>
      </c>
      <c r="F14" s="9">
        <v>45475</v>
      </c>
      <c r="G14" t="s">
        <v>141</v>
      </c>
      <c r="I14" s="7"/>
    </row>
    <row r="15" spans="1:9" x14ac:dyDescent="0.2">
      <c r="A15" t="s">
        <v>168</v>
      </c>
      <c r="B15" t="s">
        <v>169</v>
      </c>
      <c r="C15" t="s">
        <v>144</v>
      </c>
      <c r="D15">
        <v>2</v>
      </c>
      <c r="E15" t="s">
        <v>120</v>
      </c>
      <c r="F15" s="9">
        <v>46000</v>
      </c>
      <c r="G15" t="s">
        <v>141</v>
      </c>
      <c r="I15" s="7"/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0"/>
  <sheetViews>
    <sheetView zoomScale="125" workbookViewId="0">
      <selection activeCell="P18" sqref="P18"/>
    </sheetView>
  </sheetViews>
  <sheetFormatPr baseColWidth="10" defaultColWidth="8.83203125" defaultRowHeight="15" x14ac:dyDescent="0.2"/>
  <cols>
    <col min="1" max="1" width="7.83203125" bestFit="1" customWidth="1"/>
    <col min="2" max="3" width="11.6640625" customWidth="1"/>
    <col min="4" max="4" width="14.5" customWidth="1"/>
    <col min="5" max="5" width="17.5" style="2" customWidth="1"/>
    <col min="6" max="6" width="12.1640625" customWidth="1"/>
    <col min="7" max="7" width="17.1640625" customWidth="1"/>
    <col min="8" max="8" width="18.33203125" customWidth="1"/>
    <col min="9" max="9" width="19" customWidth="1"/>
    <col min="10" max="10" width="14.1640625" customWidth="1"/>
    <col min="11" max="11" width="16.83203125" customWidth="1"/>
    <col min="12" max="12" width="24.6640625" bestFit="1" customWidth="1"/>
    <col min="13" max="13" width="12.5" bestFit="1" customWidth="1"/>
    <col min="14" max="14" width="15.5" bestFit="1" customWidth="1"/>
    <col min="15" max="15" width="16.6640625" bestFit="1" customWidth="1"/>
    <col min="16" max="16" width="10.5" bestFit="1" customWidth="1"/>
  </cols>
  <sheetData>
    <row r="1" spans="1:16" x14ac:dyDescent="0.2">
      <c r="A1" s="1" t="s">
        <v>170</v>
      </c>
      <c r="B1" s="12" t="s">
        <v>0</v>
      </c>
      <c r="C1" s="12" t="s">
        <v>131</v>
      </c>
      <c r="D1" s="12" t="s">
        <v>171</v>
      </c>
      <c r="E1" s="13" t="s">
        <v>172</v>
      </c>
      <c r="F1" s="13" t="s">
        <v>173</v>
      </c>
      <c r="G1" s="12" t="s">
        <v>174</v>
      </c>
      <c r="H1" s="12" t="s">
        <v>175</v>
      </c>
      <c r="I1" s="12" t="s">
        <v>176</v>
      </c>
      <c r="J1" s="12" t="s">
        <v>177</v>
      </c>
      <c r="K1" s="12" t="s">
        <v>178</v>
      </c>
      <c r="L1" s="12" t="s">
        <v>3126</v>
      </c>
      <c r="M1" s="12" t="s">
        <v>3131</v>
      </c>
      <c r="N1" s="10"/>
      <c r="O1" s="10"/>
      <c r="P1" s="10"/>
    </row>
    <row r="2" spans="1:16" hidden="1" x14ac:dyDescent="0.2">
      <c r="A2" t="s">
        <v>179</v>
      </c>
      <c r="B2" t="s">
        <v>22</v>
      </c>
      <c r="C2" t="s">
        <v>152</v>
      </c>
      <c r="D2" t="s">
        <v>180</v>
      </c>
      <c r="E2" s="9">
        <v>46190</v>
      </c>
      <c r="F2" s="9">
        <v>46241</v>
      </c>
      <c r="G2">
        <v>240</v>
      </c>
      <c r="H2">
        <v>209</v>
      </c>
      <c r="I2" t="s">
        <v>181</v>
      </c>
      <c r="J2" t="s">
        <v>182</v>
      </c>
      <c r="K2" t="s">
        <v>183</v>
      </c>
      <c r="M2" t="b">
        <f>IF(Table7[[#This Row],[expiry_date]]-Table7[[#This Row],[manufacture_date]] &gt;=0, TRUE, FALSE)</f>
        <v>1</v>
      </c>
      <c r="P2" s="9"/>
    </row>
    <row r="3" spans="1:16" hidden="1" x14ac:dyDescent="0.2">
      <c r="A3" t="s">
        <v>184</v>
      </c>
      <c r="B3" t="s">
        <v>112</v>
      </c>
      <c r="C3" t="s">
        <v>145</v>
      </c>
      <c r="D3" t="s">
        <v>185</v>
      </c>
      <c r="E3" s="9">
        <v>46004</v>
      </c>
      <c r="F3" s="9">
        <v>46221</v>
      </c>
      <c r="G3">
        <v>120</v>
      </c>
      <c r="H3">
        <v>0</v>
      </c>
      <c r="I3" t="s">
        <v>186</v>
      </c>
      <c r="J3" t="s">
        <v>149</v>
      </c>
      <c r="K3" t="s">
        <v>187</v>
      </c>
      <c r="M3" t="b">
        <f>IF(Table7[[#This Row],[expiry_date]]-Table7[[#This Row],[manufacture_date]] &gt;=0, TRUE, FALSE)</f>
        <v>1</v>
      </c>
    </row>
    <row r="4" spans="1:16" hidden="1" x14ac:dyDescent="0.2">
      <c r="A4" t="s">
        <v>188</v>
      </c>
      <c r="B4" t="s">
        <v>25</v>
      </c>
      <c r="C4" t="s">
        <v>150</v>
      </c>
      <c r="D4" t="s">
        <v>189</v>
      </c>
      <c r="E4" s="9">
        <v>45955</v>
      </c>
      <c r="F4" s="9">
        <v>45992</v>
      </c>
      <c r="G4">
        <v>120</v>
      </c>
      <c r="H4">
        <v>0</v>
      </c>
      <c r="I4" t="s">
        <v>190</v>
      </c>
      <c r="J4" t="s">
        <v>182</v>
      </c>
      <c r="K4" t="s">
        <v>183</v>
      </c>
      <c r="M4" t="b">
        <f>IF(Table7[[#This Row],[expiry_date]]-Table7[[#This Row],[manufacture_date]] &gt;=0, TRUE, FALSE)</f>
        <v>1</v>
      </c>
    </row>
    <row r="5" spans="1:16" hidden="1" x14ac:dyDescent="0.2">
      <c r="A5" t="s">
        <v>191</v>
      </c>
      <c r="B5" t="s">
        <v>97</v>
      </c>
      <c r="C5" t="s">
        <v>166</v>
      </c>
      <c r="D5" t="s">
        <v>192</v>
      </c>
      <c r="E5" s="9">
        <v>46060</v>
      </c>
      <c r="F5" s="9">
        <v>46220</v>
      </c>
      <c r="G5">
        <v>360</v>
      </c>
      <c r="H5">
        <v>0</v>
      </c>
      <c r="I5" t="s">
        <v>193</v>
      </c>
      <c r="J5" t="s">
        <v>182</v>
      </c>
      <c r="K5" t="s">
        <v>194</v>
      </c>
      <c r="M5" t="b">
        <f>IF(Table7[[#This Row],[expiry_date]]-Table7[[#This Row],[manufacture_date]] &gt;=0, TRUE, FALSE)</f>
        <v>1</v>
      </c>
    </row>
    <row r="6" spans="1:16" hidden="1" x14ac:dyDescent="0.2">
      <c r="A6" t="s">
        <v>195</v>
      </c>
      <c r="B6" t="s">
        <v>50</v>
      </c>
      <c r="C6" t="s">
        <v>152</v>
      </c>
      <c r="D6" t="s">
        <v>196</v>
      </c>
      <c r="E6" s="9">
        <v>45853</v>
      </c>
      <c r="F6" s="9">
        <v>46228</v>
      </c>
      <c r="G6">
        <v>480</v>
      </c>
      <c r="H6">
        <v>0</v>
      </c>
      <c r="I6" t="s">
        <v>197</v>
      </c>
      <c r="J6" t="s">
        <v>149</v>
      </c>
      <c r="K6" t="s">
        <v>194</v>
      </c>
      <c r="M6" t="b">
        <f>IF(Table7[[#This Row],[expiry_date]]-Table7[[#This Row],[manufacture_date]] &gt;=0, TRUE, FALSE)</f>
        <v>1</v>
      </c>
    </row>
    <row r="7" spans="1:16" hidden="1" x14ac:dyDescent="0.2">
      <c r="A7" t="s">
        <v>198</v>
      </c>
      <c r="B7" t="s">
        <v>48</v>
      </c>
      <c r="C7" t="s">
        <v>162</v>
      </c>
      <c r="D7" t="s">
        <v>199</v>
      </c>
      <c r="E7" s="9">
        <v>46023</v>
      </c>
      <c r="F7" s="9">
        <v>46262</v>
      </c>
      <c r="G7">
        <v>360</v>
      </c>
      <c r="H7">
        <v>0</v>
      </c>
      <c r="I7" t="s">
        <v>200</v>
      </c>
      <c r="K7" t="s">
        <v>183</v>
      </c>
      <c r="M7" t="b">
        <f>IF(Table7[[#This Row],[expiry_date]]-Table7[[#This Row],[manufacture_date]] &gt;=0, TRUE, FALSE)</f>
        <v>1</v>
      </c>
    </row>
    <row r="8" spans="1:16" x14ac:dyDescent="0.2">
      <c r="A8" t="s">
        <v>201</v>
      </c>
      <c r="B8" t="s">
        <v>14</v>
      </c>
      <c r="C8" t="s">
        <v>138</v>
      </c>
      <c r="D8" t="s">
        <v>202</v>
      </c>
      <c r="E8" s="9">
        <v>46191</v>
      </c>
      <c r="F8" s="9">
        <v>46237</v>
      </c>
      <c r="G8">
        <v>600</v>
      </c>
      <c r="H8">
        <v>304</v>
      </c>
      <c r="I8" t="s">
        <v>203</v>
      </c>
      <c r="J8" t="s">
        <v>182</v>
      </c>
      <c r="K8" t="s">
        <v>183</v>
      </c>
      <c r="M8" t="b">
        <f>IF(Table7[[#This Row],[expiry_date]]-Table7[[#This Row],[manufacture_date]] &gt;=0, TRUE, FALSE)</f>
        <v>1</v>
      </c>
    </row>
    <row r="9" spans="1:16" hidden="1" x14ac:dyDescent="0.2">
      <c r="A9" t="s">
        <v>204</v>
      </c>
      <c r="B9" t="s">
        <v>93</v>
      </c>
      <c r="C9" t="s">
        <v>152</v>
      </c>
      <c r="E9" s="9">
        <v>45873</v>
      </c>
      <c r="F9" s="9">
        <v>46116</v>
      </c>
      <c r="G9">
        <v>480</v>
      </c>
      <c r="H9">
        <v>0</v>
      </c>
      <c r="I9" t="s">
        <v>205</v>
      </c>
      <c r="J9" t="s">
        <v>182</v>
      </c>
      <c r="K9" t="s">
        <v>183</v>
      </c>
      <c r="M9" t="b">
        <f>IF(Table7[[#This Row],[expiry_date]]-Table7[[#This Row],[manufacture_date]] &gt;=0, TRUE, FALSE)</f>
        <v>1</v>
      </c>
    </row>
    <row r="10" spans="1:16" hidden="1" x14ac:dyDescent="0.2">
      <c r="A10" t="s">
        <v>206</v>
      </c>
      <c r="B10" t="s">
        <v>33</v>
      </c>
      <c r="C10" t="s">
        <v>150</v>
      </c>
      <c r="D10" t="s">
        <v>207</v>
      </c>
      <c r="E10" s="9">
        <v>46230</v>
      </c>
      <c r="F10" s="9">
        <v>46289</v>
      </c>
      <c r="G10">
        <v>960</v>
      </c>
      <c r="H10">
        <v>960</v>
      </c>
      <c r="I10" t="s">
        <v>208</v>
      </c>
      <c r="J10" t="s">
        <v>182</v>
      </c>
      <c r="K10" t="s">
        <v>183</v>
      </c>
      <c r="M10" t="b">
        <f>IF(Table7[[#This Row],[expiry_date]]-Table7[[#This Row],[manufacture_date]] &gt;=0, TRUE, FALSE)</f>
        <v>1</v>
      </c>
    </row>
    <row r="11" spans="1:16" hidden="1" x14ac:dyDescent="0.2">
      <c r="A11" t="s">
        <v>209</v>
      </c>
      <c r="B11" t="s">
        <v>90</v>
      </c>
      <c r="C11" t="s">
        <v>162</v>
      </c>
      <c r="D11" t="s">
        <v>210</v>
      </c>
      <c r="E11" s="9">
        <v>45845</v>
      </c>
      <c r="F11" s="9">
        <v>46163</v>
      </c>
      <c r="G11">
        <v>120</v>
      </c>
      <c r="H11">
        <v>0</v>
      </c>
      <c r="I11" t="s">
        <v>211</v>
      </c>
      <c r="J11" t="s">
        <v>182</v>
      </c>
      <c r="M11" t="b">
        <f>IF(Table7[[#This Row],[expiry_date]]-Table7[[#This Row],[manufacture_date]] &gt;=0, TRUE, FALSE)</f>
        <v>1</v>
      </c>
    </row>
    <row r="12" spans="1:16" hidden="1" x14ac:dyDescent="0.2">
      <c r="A12" t="s">
        <v>212</v>
      </c>
      <c r="B12" t="s">
        <v>105</v>
      </c>
      <c r="C12" t="s">
        <v>164</v>
      </c>
      <c r="D12" t="s">
        <v>213</v>
      </c>
      <c r="E12" s="9">
        <v>45746</v>
      </c>
      <c r="F12" s="9">
        <v>46012</v>
      </c>
      <c r="G12">
        <v>-120</v>
      </c>
      <c r="H12">
        <v>0</v>
      </c>
      <c r="I12" t="s">
        <v>214</v>
      </c>
      <c r="J12" t="s">
        <v>182</v>
      </c>
      <c r="L12" t="s">
        <v>3139</v>
      </c>
      <c r="M12" t="b">
        <f>IF(Table7[[#This Row],[expiry_date]]-Table7[[#This Row],[manufacture_date]] &gt;=0, TRUE, FALSE)</f>
        <v>1</v>
      </c>
    </row>
    <row r="13" spans="1:16" hidden="1" x14ac:dyDescent="0.2">
      <c r="A13" t="s">
        <v>215</v>
      </c>
      <c r="B13" t="s">
        <v>93</v>
      </c>
      <c r="C13" t="s">
        <v>156</v>
      </c>
      <c r="D13" t="s">
        <v>216</v>
      </c>
      <c r="E13" s="9">
        <v>45927</v>
      </c>
      <c r="F13" s="9">
        <v>46311</v>
      </c>
      <c r="G13">
        <v>120</v>
      </c>
      <c r="H13">
        <v>0</v>
      </c>
      <c r="I13" t="s">
        <v>193</v>
      </c>
      <c r="J13" t="s">
        <v>182</v>
      </c>
      <c r="K13" t="s">
        <v>183</v>
      </c>
      <c r="M13" t="b">
        <f>IF(Table7[[#This Row],[expiry_date]]-Table7[[#This Row],[manufacture_date]] &gt;=0, TRUE, FALSE)</f>
        <v>1</v>
      </c>
    </row>
    <row r="14" spans="1:16" hidden="1" x14ac:dyDescent="0.2">
      <c r="A14" t="s">
        <v>217</v>
      </c>
      <c r="B14" t="s">
        <v>86</v>
      </c>
      <c r="C14" t="s">
        <v>158</v>
      </c>
      <c r="D14" t="s">
        <v>218</v>
      </c>
      <c r="E14" s="9">
        <v>45925</v>
      </c>
      <c r="F14" s="9">
        <v>46290</v>
      </c>
      <c r="G14">
        <v>960</v>
      </c>
      <c r="H14">
        <v>0</v>
      </c>
      <c r="I14" t="s">
        <v>219</v>
      </c>
      <c r="J14" t="s">
        <v>149</v>
      </c>
      <c r="K14" t="s">
        <v>183</v>
      </c>
      <c r="M14" t="b">
        <f>IF(Table7[[#This Row],[expiry_date]]-Table7[[#This Row],[manufacture_date]] &gt;=0, TRUE, FALSE)</f>
        <v>1</v>
      </c>
    </row>
    <row r="15" spans="1:16" hidden="1" x14ac:dyDescent="0.2">
      <c r="A15" t="s">
        <v>220</v>
      </c>
      <c r="B15" t="s">
        <v>36</v>
      </c>
      <c r="C15" t="s">
        <v>154</v>
      </c>
      <c r="D15" t="s">
        <v>221</v>
      </c>
      <c r="E15" s="9">
        <v>46248</v>
      </c>
      <c r="F15" s="9">
        <v>46292</v>
      </c>
      <c r="G15">
        <v>960</v>
      </c>
      <c r="H15">
        <v>787</v>
      </c>
      <c r="I15" t="s">
        <v>222</v>
      </c>
      <c r="J15" t="s">
        <v>182</v>
      </c>
      <c r="K15" t="s">
        <v>183</v>
      </c>
      <c r="M15" t="b">
        <f>IF(Table7[[#This Row],[expiry_date]]-Table7[[#This Row],[manufacture_date]] &gt;=0, TRUE, FALSE)</f>
        <v>1</v>
      </c>
    </row>
    <row r="16" spans="1:16" hidden="1" x14ac:dyDescent="0.2">
      <c r="A16" t="s">
        <v>223</v>
      </c>
      <c r="B16" t="s">
        <v>67</v>
      </c>
      <c r="C16" t="s">
        <v>147</v>
      </c>
      <c r="D16" t="s">
        <v>224</v>
      </c>
      <c r="E16" s="9">
        <v>45876</v>
      </c>
      <c r="F16" s="9"/>
      <c r="G16">
        <v>600</v>
      </c>
      <c r="H16">
        <v>0</v>
      </c>
      <c r="I16" t="s">
        <v>225</v>
      </c>
      <c r="J16" t="s">
        <v>182</v>
      </c>
      <c r="K16" t="s">
        <v>183</v>
      </c>
      <c r="M16" t="b">
        <f>IF(Table7[[#This Row],[expiry_date]]-Table7[[#This Row],[manufacture_date]] &gt;=0, TRUE, FALSE)</f>
        <v>0</v>
      </c>
    </row>
    <row r="17" spans="1:16" hidden="1" x14ac:dyDescent="0.2">
      <c r="A17" t="s">
        <v>226</v>
      </c>
      <c r="B17" t="s">
        <v>33</v>
      </c>
      <c r="C17" t="s">
        <v>142</v>
      </c>
      <c r="D17" t="s">
        <v>227</v>
      </c>
      <c r="E17" s="9">
        <v>45699</v>
      </c>
      <c r="F17" s="9">
        <v>45759</v>
      </c>
      <c r="G17">
        <v>600</v>
      </c>
      <c r="H17">
        <v>0</v>
      </c>
      <c r="I17" t="s">
        <v>228</v>
      </c>
      <c r="J17" t="s">
        <v>182</v>
      </c>
      <c r="K17" t="s">
        <v>194</v>
      </c>
      <c r="M17" t="b">
        <f>IF(Table7[[#This Row],[expiry_date]]-Table7[[#This Row],[manufacture_date]] &gt;=0, TRUE, FALSE)</f>
        <v>1</v>
      </c>
    </row>
    <row r="18" spans="1:16" hidden="1" x14ac:dyDescent="0.2">
      <c r="A18" t="s">
        <v>229</v>
      </c>
      <c r="B18" t="s">
        <v>54</v>
      </c>
      <c r="C18" t="s">
        <v>158</v>
      </c>
      <c r="E18" s="9">
        <v>46103</v>
      </c>
      <c r="F18" s="9">
        <v>46317</v>
      </c>
      <c r="G18">
        <v>120</v>
      </c>
      <c r="H18">
        <v>28</v>
      </c>
      <c r="I18" t="s">
        <v>230</v>
      </c>
      <c r="J18" t="s">
        <v>231</v>
      </c>
      <c r="K18" t="s">
        <v>183</v>
      </c>
      <c r="M18" t="b">
        <f>IF(Table7[[#This Row],[expiry_date]]-Table7[[#This Row],[manufacture_date]] &gt;=0, TRUE, FALSE)</f>
        <v>1</v>
      </c>
      <c r="P18" t="s">
        <v>3206</v>
      </c>
    </row>
    <row r="19" spans="1:16" hidden="1" x14ac:dyDescent="0.2">
      <c r="A19" t="s">
        <v>232</v>
      </c>
      <c r="B19" t="s">
        <v>14</v>
      </c>
      <c r="C19" t="s">
        <v>156</v>
      </c>
      <c r="D19" t="s">
        <v>233</v>
      </c>
      <c r="E19" s="9">
        <v>45916</v>
      </c>
      <c r="F19" s="9">
        <v>45959</v>
      </c>
      <c r="G19">
        <v>480</v>
      </c>
      <c r="H19">
        <v>0</v>
      </c>
      <c r="I19" t="s">
        <v>234</v>
      </c>
      <c r="J19" t="s">
        <v>182</v>
      </c>
      <c r="K19" t="s">
        <v>183</v>
      </c>
      <c r="M19" t="b">
        <f>IF(Table7[[#This Row],[expiry_date]]-Table7[[#This Row],[manufacture_date]] &gt;=0, TRUE, FALSE)</f>
        <v>1</v>
      </c>
    </row>
    <row r="20" spans="1:16" hidden="1" x14ac:dyDescent="0.2">
      <c r="A20" t="s">
        <v>235</v>
      </c>
      <c r="B20" t="s">
        <v>58</v>
      </c>
      <c r="C20" t="s">
        <v>164</v>
      </c>
      <c r="D20" t="s">
        <v>236</v>
      </c>
      <c r="E20" s="9">
        <v>46056</v>
      </c>
      <c r="F20" s="9">
        <v>46427</v>
      </c>
      <c r="G20">
        <v>960</v>
      </c>
      <c r="H20">
        <v>0</v>
      </c>
      <c r="I20" t="s">
        <v>237</v>
      </c>
      <c r="J20" t="s">
        <v>182</v>
      </c>
      <c r="K20" t="s">
        <v>183</v>
      </c>
      <c r="M20" t="b">
        <f>IF(Table7[[#This Row],[expiry_date]]-Table7[[#This Row],[manufacture_date]] &gt;=0, TRUE, FALSE)</f>
        <v>1</v>
      </c>
    </row>
    <row r="21" spans="1:16" hidden="1" x14ac:dyDescent="0.2">
      <c r="A21" t="s">
        <v>238</v>
      </c>
      <c r="B21" t="s">
        <v>22</v>
      </c>
      <c r="C21" t="s">
        <v>162</v>
      </c>
      <c r="D21" t="s">
        <v>239</v>
      </c>
      <c r="E21" s="9">
        <v>46021</v>
      </c>
      <c r="F21" s="9">
        <v>46056</v>
      </c>
      <c r="G21">
        <v>480</v>
      </c>
      <c r="H21">
        <v>0</v>
      </c>
      <c r="I21" t="s">
        <v>240</v>
      </c>
      <c r="J21" t="s">
        <v>182</v>
      </c>
      <c r="K21" t="s">
        <v>187</v>
      </c>
      <c r="M21" t="b">
        <f>IF(Table7[[#This Row],[expiry_date]]-Table7[[#This Row],[manufacture_date]] &gt;=0, TRUE, FALSE)</f>
        <v>1</v>
      </c>
    </row>
    <row r="22" spans="1:16" hidden="1" x14ac:dyDescent="0.2">
      <c r="A22" t="s">
        <v>241</v>
      </c>
      <c r="B22" t="s">
        <v>54</v>
      </c>
      <c r="C22" t="s">
        <v>147</v>
      </c>
      <c r="D22" t="s">
        <v>242</v>
      </c>
      <c r="E22" s="9">
        <v>45923</v>
      </c>
      <c r="F22" s="9">
        <v>46285</v>
      </c>
      <c r="G22">
        <v>120</v>
      </c>
      <c r="H22">
        <v>0</v>
      </c>
      <c r="I22" t="s">
        <v>243</v>
      </c>
      <c r="J22" t="s">
        <v>182</v>
      </c>
      <c r="K22" t="s">
        <v>187</v>
      </c>
      <c r="M22" t="b">
        <f>IF(Table7[[#This Row],[expiry_date]]-Table7[[#This Row],[manufacture_date]] &gt;=0, TRUE, FALSE)</f>
        <v>1</v>
      </c>
    </row>
    <row r="23" spans="1:16" hidden="1" x14ac:dyDescent="0.2">
      <c r="A23" t="s">
        <v>244</v>
      </c>
      <c r="B23" t="s">
        <v>65</v>
      </c>
      <c r="C23" t="s">
        <v>147</v>
      </c>
      <c r="D23" t="s">
        <v>245</v>
      </c>
      <c r="E23" s="9">
        <v>45831</v>
      </c>
      <c r="F23" s="9">
        <v>46280</v>
      </c>
      <c r="G23">
        <v>360</v>
      </c>
      <c r="H23">
        <v>0</v>
      </c>
      <c r="I23" t="s">
        <v>246</v>
      </c>
      <c r="J23" t="s">
        <v>182</v>
      </c>
      <c r="K23" t="s">
        <v>183</v>
      </c>
      <c r="M23" t="b">
        <f>IF(Table7[[#This Row],[expiry_date]]-Table7[[#This Row],[manufacture_date]] &gt;=0, TRUE, FALSE)</f>
        <v>1</v>
      </c>
    </row>
    <row r="24" spans="1:16" hidden="1" x14ac:dyDescent="0.2">
      <c r="A24" t="s">
        <v>247</v>
      </c>
      <c r="B24" t="s">
        <v>48</v>
      </c>
      <c r="C24" t="s">
        <v>158</v>
      </c>
      <c r="D24" t="s">
        <v>248</v>
      </c>
      <c r="E24" s="9">
        <v>45921</v>
      </c>
      <c r="F24" s="9">
        <v>46149</v>
      </c>
      <c r="G24">
        <v>960</v>
      </c>
      <c r="H24">
        <v>0</v>
      </c>
      <c r="I24" t="s">
        <v>219</v>
      </c>
      <c r="J24" t="s">
        <v>182</v>
      </c>
      <c r="K24" t="s">
        <v>187</v>
      </c>
      <c r="M24" t="b">
        <f>IF(Table7[[#This Row],[expiry_date]]-Table7[[#This Row],[manufacture_date]] &gt;=0, TRUE, FALSE)</f>
        <v>1</v>
      </c>
    </row>
    <row r="25" spans="1:16" hidden="1" x14ac:dyDescent="0.2">
      <c r="A25" t="s">
        <v>249</v>
      </c>
      <c r="B25" t="s">
        <v>63</v>
      </c>
      <c r="C25" t="s">
        <v>156</v>
      </c>
      <c r="D25" t="s">
        <v>250</v>
      </c>
      <c r="E25" s="9">
        <v>45826</v>
      </c>
      <c r="F25" s="9">
        <v>46272</v>
      </c>
      <c r="G25">
        <v>240</v>
      </c>
      <c r="H25">
        <v>0</v>
      </c>
      <c r="I25" t="s">
        <v>251</v>
      </c>
      <c r="J25" t="s">
        <v>182</v>
      </c>
      <c r="K25" t="s">
        <v>183</v>
      </c>
      <c r="M25" t="b">
        <f>IF(Table7[[#This Row],[expiry_date]]-Table7[[#This Row],[manufacture_date]] &gt;=0, TRUE, FALSE)</f>
        <v>1</v>
      </c>
    </row>
    <row r="26" spans="1:16" hidden="1" x14ac:dyDescent="0.2">
      <c r="A26" t="s">
        <v>252</v>
      </c>
      <c r="B26" t="s">
        <v>8</v>
      </c>
      <c r="C26" t="s">
        <v>145</v>
      </c>
      <c r="D26" t="s">
        <v>253</v>
      </c>
      <c r="E26" s="9">
        <v>45801</v>
      </c>
      <c r="F26" s="9">
        <v>45853</v>
      </c>
      <c r="G26">
        <v>120</v>
      </c>
      <c r="H26">
        <v>0</v>
      </c>
      <c r="I26" t="s">
        <v>254</v>
      </c>
      <c r="J26" t="s">
        <v>182</v>
      </c>
      <c r="K26" t="s">
        <v>194</v>
      </c>
      <c r="M26" t="b">
        <f>IF(Table7[[#This Row],[expiry_date]]-Table7[[#This Row],[manufacture_date]] &gt;=0, TRUE, FALSE)</f>
        <v>1</v>
      </c>
    </row>
    <row r="27" spans="1:16" x14ac:dyDescent="0.2">
      <c r="A27" t="s">
        <v>255</v>
      </c>
      <c r="B27" t="s">
        <v>30</v>
      </c>
      <c r="C27" t="s">
        <v>138</v>
      </c>
      <c r="D27" t="s">
        <v>256</v>
      </c>
      <c r="E27" s="9">
        <v>46082</v>
      </c>
      <c r="F27" s="9">
        <v>46148</v>
      </c>
      <c r="G27">
        <v>48000</v>
      </c>
      <c r="H27">
        <v>39</v>
      </c>
      <c r="I27" t="s">
        <v>257</v>
      </c>
      <c r="J27" t="s">
        <v>182</v>
      </c>
      <c r="K27" t="s">
        <v>183</v>
      </c>
      <c r="M27" t="b">
        <f>IF(Table7[[#This Row],[expiry_date]]-Table7[[#This Row],[manufacture_date]] &gt;=0, TRUE, FALSE)</f>
        <v>1</v>
      </c>
    </row>
    <row r="28" spans="1:16" hidden="1" x14ac:dyDescent="0.2">
      <c r="A28" t="s">
        <v>258</v>
      </c>
      <c r="B28" t="s">
        <v>127</v>
      </c>
      <c r="C28" t="s">
        <v>154</v>
      </c>
      <c r="D28" t="s">
        <v>259</v>
      </c>
      <c r="E28" s="9">
        <v>46133</v>
      </c>
      <c r="F28" s="9">
        <v>46515</v>
      </c>
      <c r="G28">
        <v>480</v>
      </c>
      <c r="H28">
        <v>199</v>
      </c>
      <c r="I28" t="s">
        <v>260</v>
      </c>
      <c r="J28" t="s">
        <v>182</v>
      </c>
      <c r="K28" t="s">
        <v>183</v>
      </c>
      <c r="M28" t="b">
        <f>IF(Table7[[#This Row],[expiry_date]]-Table7[[#This Row],[manufacture_date]] &gt;=0, TRUE, FALSE)</f>
        <v>1</v>
      </c>
    </row>
    <row r="29" spans="1:16" hidden="1" x14ac:dyDescent="0.2">
      <c r="A29" t="s">
        <v>261</v>
      </c>
      <c r="B29" t="s">
        <v>40</v>
      </c>
      <c r="C29" t="s">
        <v>156</v>
      </c>
      <c r="D29" t="s">
        <v>262</v>
      </c>
      <c r="E29" s="9">
        <v>45832</v>
      </c>
      <c r="F29" s="9">
        <v>45867</v>
      </c>
      <c r="G29">
        <v>480</v>
      </c>
      <c r="H29">
        <v>0</v>
      </c>
      <c r="I29" t="s">
        <v>234</v>
      </c>
      <c r="J29" t="s">
        <v>182</v>
      </c>
      <c r="K29" t="s">
        <v>183</v>
      </c>
      <c r="M29" t="b">
        <f>IF(Table7[[#This Row],[expiry_date]]-Table7[[#This Row],[manufacture_date]] &gt;=0, TRUE, FALSE)</f>
        <v>1</v>
      </c>
    </row>
    <row r="30" spans="1:16" hidden="1" x14ac:dyDescent="0.2">
      <c r="A30" t="s">
        <v>263</v>
      </c>
      <c r="B30" t="s">
        <v>112</v>
      </c>
      <c r="C30" t="s">
        <v>145</v>
      </c>
      <c r="D30" t="s">
        <v>264</v>
      </c>
      <c r="E30" s="9">
        <v>45874</v>
      </c>
      <c r="F30" s="9">
        <v>46132</v>
      </c>
      <c r="G30">
        <v>120</v>
      </c>
      <c r="H30">
        <v>0</v>
      </c>
      <c r="I30" t="s">
        <v>265</v>
      </c>
      <c r="J30" t="s">
        <v>182</v>
      </c>
      <c r="K30" t="s">
        <v>183</v>
      </c>
      <c r="M30" t="b">
        <f>IF(Table7[[#This Row],[expiry_date]]-Table7[[#This Row],[manufacture_date]] &gt;=0, TRUE, FALSE)</f>
        <v>1</v>
      </c>
    </row>
    <row r="31" spans="1:16" hidden="1" x14ac:dyDescent="0.2">
      <c r="A31" t="s">
        <v>266</v>
      </c>
      <c r="B31" t="s">
        <v>116</v>
      </c>
      <c r="C31" t="s">
        <v>160</v>
      </c>
      <c r="D31" t="s">
        <v>267</v>
      </c>
      <c r="E31" s="9">
        <v>45950</v>
      </c>
      <c r="F31" s="9">
        <v>46228</v>
      </c>
      <c r="G31">
        <v>600</v>
      </c>
      <c r="H31">
        <v>0</v>
      </c>
      <c r="I31" t="s">
        <v>268</v>
      </c>
      <c r="J31" t="s">
        <v>269</v>
      </c>
      <c r="K31" t="s">
        <v>183</v>
      </c>
      <c r="M31" t="b">
        <f>IF(Table7[[#This Row],[expiry_date]]-Table7[[#This Row],[manufacture_date]] &gt;=0, TRUE, FALSE)</f>
        <v>1</v>
      </c>
    </row>
    <row r="32" spans="1:16" hidden="1" x14ac:dyDescent="0.2">
      <c r="A32" t="s">
        <v>270</v>
      </c>
      <c r="B32" t="s">
        <v>125</v>
      </c>
      <c r="C32" t="s">
        <v>145</v>
      </c>
      <c r="D32" t="s">
        <v>271</v>
      </c>
      <c r="E32" s="9">
        <v>46153</v>
      </c>
      <c r="F32" s="9">
        <v>46435</v>
      </c>
      <c r="G32">
        <v>960</v>
      </c>
      <c r="H32">
        <v>657</v>
      </c>
      <c r="I32" t="s">
        <v>272</v>
      </c>
      <c r="J32" t="s">
        <v>182</v>
      </c>
      <c r="K32" t="s">
        <v>183</v>
      </c>
      <c r="M32" t="b">
        <f>IF(Table7[[#This Row],[expiry_date]]-Table7[[#This Row],[manufacture_date]] &gt;=0, TRUE, FALSE)</f>
        <v>1</v>
      </c>
    </row>
    <row r="33" spans="1:13" hidden="1" x14ac:dyDescent="0.2">
      <c r="A33" t="s">
        <v>273</v>
      </c>
      <c r="B33" t="s">
        <v>78</v>
      </c>
      <c r="C33" t="s">
        <v>142</v>
      </c>
      <c r="D33" t="s">
        <v>274</v>
      </c>
      <c r="E33" s="9">
        <v>45967</v>
      </c>
      <c r="F33" s="9">
        <v>46286</v>
      </c>
      <c r="G33">
        <v>480</v>
      </c>
      <c r="H33">
        <v>0</v>
      </c>
      <c r="I33" t="s">
        <v>275</v>
      </c>
      <c r="J33" t="s">
        <v>182</v>
      </c>
      <c r="K33" t="s">
        <v>183</v>
      </c>
      <c r="M33" t="b">
        <f>IF(Table7[[#This Row],[expiry_date]]-Table7[[#This Row],[manufacture_date]] &gt;=0, TRUE, FALSE)</f>
        <v>1</v>
      </c>
    </row>
    <row r="34" spans="1:13" hidden="1" x14ac:dyDescent="0.2">
      <c r="A34" t="s">
        <v>276</v>
      </c>
      <c r="B34" t="s">
        <v>105</v>
      </c>
      <c r="C34" t="s">
        <v>145</v>
      </c>
      <c r="D34" t="s">
        <v>277</v>
      </c>
      <c r="E34" s="9">
        <v>46124</v>
      </c>
      <c r="F34" s="9">
        <v>46468</v>
      </c>
      <c r="G34">
        <v>120</v>
      </c>
      <c r="H34">
        <v>17</v>
      </c>
      <c r="I34" t="s">
        <v>278</v>
      </c>
      <c r="J34" t="s">
        <v>182</v>
      </c>
      <c r="K34" t="s">
        <v>183</v>
      </c>
      <c r="M34" t="b">
        <f>IF(Table7[[#This Row],[expiry_date]]-Table7[[#This Row],[manufacture_date]] &gt;=0, TRUE, FALSE)</f>
        <v>1</v>
      </c>
    </row>
    <row r="35" spans="1:13" hidden="1" x14ac:dyDescent="0.2">
      <c r="A35" t="s">
        <v>279</v>
      </c>
      <c r="B35" t="s">
        <v>97</v>
      </c>
      <c r="C35" t="s">
        <v>162</v>
      </c>
      <c r="D35" t="s">
        <v>280</v>
      </c>
      <c r="E35" s="9">
        <v>45902</v>
      </c>
      <c r="F35" s="9">
        <v>46267</v>
      </c>
      <c r="G35">
        <v>120</v>
      </c>
      <c r="H35">
        <v>181</v>
      </c>
      <c r="I35" t="s">
        <v>281</v>
      </c>
      <c r="J35" t="s">
        <v>182</v>
      </c>
      <c r="K35" t="s">
        <v>183</v>
      </c>
      <c r="L35" t="s">
        <v>3140</v>
      </c>
      <c r="M35" t="b">
        <f>IF(Table7[[#This Row],[expiry_date]]-Table7[[#This Row],[manufacture_date]] &gt;=0, TRUE, FALSE)</f>
        <v>1</v>
      </c>
    </row>
    <row r="36" spans="1:13" hidden="1" x14ac:dyDescent="0.2">
      <c r="A36" t="s">
        <v>282</v>
      </c>
      <c r="B36" t="s">
        <v>42</v>
      </c>
      <c r="C36" t="s">
        <v>166</v>
      </c>
      <c r="D36" t="s">
        <v>283</v>
      </c>
      <c r="E36" s="9">
        <v>46192</v>
      </c>
      <c r="F36" s="9">
        <v>46274</v>
      </c>
      <c r="G36">
        <v>240</v>
      </c>
      <c r="H36">
        <v>126</v>
      </c>
      <c r="I36" t="s">
        <v>284</v>
      </c>
      <c r="J36" t="s">
        <v>182</v>
      </c>
      <c r="K36" t="s">
        <v>183</v>
      </c>
      <c r="M36" t="b">
        <f>IF(Table7[[#This Row],[expiry_date]]-Table7[[#This Row],[manufacture_date]] &gt;=0, TRUE, FALSE)</f>
        <v>1</v>
      </c>
    </row>
    <row r="37" spans="1:13" hidden="1" x14ac:dyDescent="0.2">
      <c r="A37" t="s">
        <v>285</v>
      </c>
      <c r="B37" t="s">
        <v>36</v>
      </c>
      <c r="C37" t="s">
        <v>154</v>
      </c>
      <c r="D37" t="s">
        <v>286</v>
      </c>
      <c r="E37" s="9">
        <v>46167</v>
      </c>
      <c r="F37" s="9">
        <v>46224</v>
      </c>
      <c r="G37">
        <v>360</v>
      </c>
      <c r="H37">
        <v>270</v>
      </c>
      <c r="I37" t="s">
        <v>287</v>
      </c>
      <c r="J37" t="s">
        <v>182</v>
      </c>
      <c r="K37" t="s">
        <v>187</v>
      </c>
      <c r="M37" t="b">
        <f>IF(Table7[[#This Row],[expiry_date]]-Table7[[#This Row],[manufacture_date]] &gt;=0, TRUE, FALSE)</f>
        <v>1</v>
      </c>
    </row>
    <row r="38" spans="1:13" hidden="1" x14ac:dyDescent="0.2">
      <c r="A38" t="s">
        <v>288</v>
      </c>
      <c r="B38" t="s">
        <v>118</v>
      </c>
      <c r="C38" t="s">
        <v>156</v>
      </c>
      <c r="D38" t="s">
        <v>289</v>
      </c>
      <c r="E38" s="9">
        <v>46062</v>
      </c>
      <c r="F38" s="9">
        <v>46310</v>
      </c>
      <c r="G38">
        <v>960</v>
      </c>
      <c r="H38">
        <v>342</v>
      </c>
      <c r="I38" t="s">
        <v>290</v>
      </c>
      <c r="J38" t="s">
        <v>149</v>
      </c>
      <c r="K38" t="s">
        <v>183</v>
      </c>
      <c r="M38" t="b">
        <f>IF(Table7[[#This Row],[expiry_date]]-Table7[[#This Row],[manufacture_date]] &gt;=0, TRUE, FALSE)</f>
        <v>1</v>
      </c>
    </row>
    <row r="39" spans="1:13" hidden="1" x14ac:dyDescent="0.2">
      <c r="A39" t="s">
        <v>291</v>
      </c>
      <c r="B39" t="s">
        <v>36</v>
      </c>
      <c r="C39" t="s">
        <v>164</v>
      </c>
      <c r="D39" t="s">
        <v>292</v>
      </c>
      <c r="E39" s="9">
        <v>45830</v>
      </c>
      <c r="F39" s="9">
        <v>45869</v>
      </c>
      <c r="G39">
        <v>480</v>
      </c>
      <c r="H39">
        <v>0</v>
      </c>
      <c r="I39" t="s">
        <v>293</v>
      </c>
      <c r="J39" t="s">
        <v>182</v>
      </c>
      <c r="K39" t="s">
        <v>187</v>
      </c>
      <c r="M39" t="b">
        <f>IF(Table7[[#This Row],[expiry_date]]-Table7[[#This Row],[manufacture_date]] &gt;=0, TRUE, FALSE)</f>
        <v>1</v>
      </c>
    </row>
    <row r="40" spans="1:13" hidden="1" x14ac:dyDescent="0.2">
      <c r="A40" t="s">
        <v>294</v>
      </c>
      <c r="B40" t="s">
        <v>95</v>
      </c>
      <c r="C40" t="s">
        <v>147</v>
      </c>
      <c r="D40" t="s">
        <v>295</v>
      </c>
      <c r="E40" s="9">
        <v>46002</v>
      </c>
      <c r="F40" s="9">
        <v>46212</v>
      </c>
      <c r="G40">
        <v>960</v>
      </c>
      <c r="H40">
        <v>99</v>
      </c>
      <c r="I40" t="s">
        <v>296</v>
      </c>
      <c r="J40" t="s">
        <v>182</v>
      </c>
      <c r="K40" t="s">
        <v>183</v>
      </c>
      <c r="M40" t="b">
        <f>IF(Table7[[#This Row],[expiry_date]]-Table7[[#This Row],[manufacture_date]] &gt;=0, TRUE, FALSE)</f>
        <v>1</v>
      </c>
    </row>
    <row r="41" spans="1:13" hidden="1" x14ac:dyDescent="0.2">
      <c r="A41" t="s">
        <v>297</v>
      </c>
      <c r="B41" t="s">
        <v>63</v>
      </c>
      <c r="C41" t="s">
        <v>158</v>
      </c>
      <c r="D41" t="s">
        <v>298</v>
      </c>
      <c r="E41" s="9">
        <v>45972</v>
      </c>
      <c r="F41" s="9">
        <v>46333</v>
      </c>
      <c r="G41">
        <v>360</v>
      </c>
      <c r="H41">
        <v>0</v>
      </c>
      <c r="I41" t="s">
        <v>299</v>
      </c>
      <c r="J41" t="s">
        <v>149</v>
      </c>
      <c r="K41" t="s">
        <v>183</v>
      </c>
      <c r="M41" t="b">
        <f>IF(Table7[[#This Row],[expiry_date]]-Table7[[#This Row],[manufacture_date]] &gt;=0, TRUE, FALSE)</f>
        <v>1</v>
      </c>
    </row>
    <row r="42" spans="1:13" hidden="1" x14ac:dyDescent="0.2">
      <c r="A42" t="s">
        <v>300</v>
      </c>
      <c r="B42" t="s">
        <v>84</v>
      </c>
      <c r="C42" t="s">
        <v>156</v>
      </c>
      <c r="D42" t="s">
        <v>301</v>
      </c>
      <c r="E42" s="9">
        <v>46357</v>
      </c>
      <c r="F42" s="9">
        <v>46142</v>
      </c>
      <c r="G42">
        <v>960</v>
      </c>
      <c r="H42">
        <v>0</v>
      </c>
      <c r="I42" t="s">
        <v>302</v>
      </c>
      <c r="K42" t="s">
        <v>183</v>
      </c>
      <c r="M42" t="b">
        <f>IF(Table7[[#This Row],[expiry_date]]-Table7[[#This Row],[manufacture_date]] &gt;=0, TRUE, FALSE)</f>
        <v>0</v>
      </c>
    </row>
    <row r="43" spans="1:13" hidden="1" x14ac:dyDescent="0.2">
      <c r="A43" t="s">
        <v>303</v>
      </c>
      <c r="B43" t="s">
        <v>84</v>
      </c>
      <c r="C43" t="s">
        <v>160</v>
      </c>
      <c r="D43" t="s">
        <v>304</v>
      </c>
      <c r="E43" s="9">
        <v>45875</v>
      </c>
      <c r="F43" s="9">
        <v>46123</v>
      </c>
      <c r="G43">
        <v>480</v>
      </c>
      <c r="H43">
        <v>0</v>
      </c>
      <c r="I43" t="s">
        <v>205</v>
      </c>
      <c r="J43" t="s">
        <v>182</v>
      </c>
      <c r="K43" t="s">
        <v>194</v>
      </c>
      <c r="M43" t="b">
        <f>IF(Table7[[#This Row],[expiry_date]]-Table7[[#This Row],[manufacture_date]] &gt;=0, TRUE, FALSE)</f>
        <v>1</v>
      </c>
    </row>
    <row r="44" spans="1:13" hidden="1" x14ac:dyDescent="0.2">
      <c r="A44" t="s">
        <v>305</v>
      </c>
      <c r="B44" t="s">
        <v>127</v>
      </c>
      <c r="C44" t="s">
        <v>150</v>
      </c>
      <c r="D44" t="s">
        <v>306</v>
      </c>
      <c r="E44" s="9">
        <v>45722</v>
      </c>
      <c r="F44" s="9">
        <v>46105</v>
      </c>
      <c r="G44">
        <v>600</v>
      </c>
      <c r="H44">
        <v>0</v>
      </c>
      <c r="I44" t="s">
        <v>278</v>
      </c>
      <c r="J44" t="s">
        <v>182</v>
      </c>
      <c r="K44" t="s">
        <v>183</v>
      </c>
      <c r="M44" t="b">
        <f>IF(Table7[[#This Row],[expiry_date]]-Table7[[#This Row],[manufacture_date]] &gt;=0, TRUE, FALSE)</f>
        <v>1</v>
      </c>
    </row>
    <row r="45" spans="1:13" x14ac:dyDescent="0.2">
      <c r="A45" t="s">
        <v>307</v>
      </c>
      <c r="B45" t="s">
        <v>17</v>
      </c>
      <c r="C45" t="s">
        <v>138</v>
      </c>
      <c r="D45" t="s">
        <v>308</v>
      </c>
      <c r="E45" s="9">
        <v>46123</v>
      </c>
      <c r="F45" s="9">
        <v>46160</v>
      </c>
      <c r="G45">
        <v>600</v>
      </c>
      <c r="H45">
        <v>234</v>
      </c>
      <c r="I45" t="s">
        <v>309</v>
      </c>
      <c r="J45" t="s">
        <v>182</v>
      </c>
      <c r="K45" t="s">
        <v>187</v>
      </c>
      <c r="M45" t="b">
        <f>IF(Table7[[#This Row],[expiry_date]]-Table7[[#This Row],[manufacture_date]] &gt;=0, TRUE, FALSE)</f>
        <v>1</v>
      </c>
    </row>
    <row r="46" spans="1:13" hidden="1" x14ac:dyDescent="0.2">
      <c r="A46" t="s">
        <v>310</v>
      </c>
      <c r="B46" t="s">
        <v>86</v>
      </c>
      <c r="C46" t="s">
        <v>142</v>
      </c>
      <c r="D46" t="s">
        <v>311</v>
      </c>
      <c r="E46" s="9">
        <v>45974</v>
      </c>
      <c r="F46" s="9">
        <v>46315</v>
      </c>
      <c r="G46">
        <v>360</v>
      </c>
      <c r="H46">
        <v>0</v>
      </c>
      <c r="I46" t="s">
        <v>312</v>
      </c>
      <c r="J46" t="s">
        <v>182</v>
      </c>
      <c r="K46" t="s">
        <v>183</v>
      </c>
      <c r="M46" t="b">
        <f>IF(Table7[[#This Row],[expiry_date]]-Table7[[#This Row],[manufacture_date]] &gt;=0, TRUE, FALSE)</f>
        <v>1</v>
      </c>
    </row>
    <row r="47" spans="1:13" hidden="1" x14ac:dyDescent="0.2">
      <c r="A47" t="s">
        <v>313</v>
      </c>
      <c r="B47" t="s">
        <v>95</v>
      </c>
      <c r="C47" t="s">
        <v>154</v>
      </c>
      <c r="D47" t="s">
        <v>314</v>
      </c>
      <c r="E47" s="9">
        <v>45929</v>
      </c>
      <c r="F47" s="9"/>
      <c r="G47">
        <v>960</v>
      </c>
      <c r="H47">
        <v>0</v>
      </c>
      <c r="I47" t="s">
        <v>315</v>
      </c>
      <c r="J47" t="s">
        <v>182</v>
      </c>
      <c r="K47" t="s">
        <v>183</v>
      </c>
      <c r="M47" t="b">
        <f>IF(Table7[[#This Row],[expiry_date]]-Table7[[#This Row],[manufacture_date]] &gt;=0, TRUE, FALSE)</f>
        <v>0</v>
      </c>
    </row>
    <row r="48" spans="1:13" x14ac:dyDescent="0.2">
      <c r="A48" t="s">
        <v>316</v>
      </c>
      <c r="B48" t="s">
        <v>84</v>
      </c>
      <c r="C48" t="s">
        <v>138</v>
      </c>
      <c r="D48" t="s">
        <v>317</v>
      </c>
      <c r="E48" s="9">
        <v>45981</v>
      </c>
      <c r="F48" s="9">
        <v>46297</v>
      </c>
      <c r="G48">
        <v>480</v>
      </c>
      <c r="H48">
        <v>0</v>
      </c>
      <c r="I48" t="s">
        <v>186</v>
      </c>
      <c r="J48" t="s">
        <v>182</v>
      </c>
      <c r="K48" t="s">
        <v>187</v>
      </c>
      <c r="M48" t="b">
        <f>IF(Table7[[#This Row],[expiry_date]]-Table7[[#This Row],[manufacture_date]] &gt;=0, TRUE, FALSE)</f>
        <v>1</v>
      </c>
    </row>
    <row r="49" spans="1:13" hidden="1" x14ac:dyDescent="0.2">
      <c r="A49" t="s">
        <v>318</v>
      </c>
      <c r="B49" t="s">
        <v>95</v>
      </c>
      <c r="C49" t="s">
        <v>156</v>
      </c>
      <c r="D49" t="s">
        <v>319</v>
      </c>
      <c r="E49" s="9">
        <v>45830</v>
      </c>
      <c r="F49" s="9">
        <v>46206</v>
      </c>
      <c r="G49">
        <v>480</v>
      </c>
      <c r="H49">
        <v>0</v>
      </c>
      <c r="I49" t="s">
        <v>320</v>
      </c>
      <c r="J49" t="s">
        <v>182</v>
      </c>
      <c r="K49" t="s">
        <v>183</v>
      </c>
      <c r="M49" t="b">
        <f>IF(Table7[[#This Row],[expiry_date]]-Table7[[#This Row],[manufacture_date]] &gt;=0, TRUE, FALSE)</f>
        <v>1</v>
      </c>
    </row>
    <row r="50" spans="1:13" hidden="1" x14ac:dyDescent="0.2">
      <c r="A50" t="s">
        <v>321</v>
      </c>
      <c r="B50" t="s">
        <v>95</v>
      </c>
      <c r="C50" t="s">
        <v>142</v>
      </c>
      <c r="D50" t="s">
        <v>322</v>
      </c>
      <c r="E50" s="9">
        <v>46039</v>
      </c>
      <c r="F50" s="9">
        <v>46204</v>
      </c>
      <c r="G50">
        <v>480</v>
      </c>
      <c r="H50">
        <v>0</v>
      </c>
      <c r="I50" t="s">
        <v>323</v>
      </c>
      <c r="K50" t="s">
        <v>187</v>
      </c>
      <c r="M50" t="b">
        <f>IF(Table7[[#This Row],[expiry_date]]-Table7[[#This Row],[manufacture_date]] &gt;=0, TRUE, FALSE)</f>
        <v>1</v>
      </c>
    </row>
    <row r="51" spans="1:13" hidden="1" x14ac:dyDescent="0.2">
      <c r="A51" t="s">
        <v>324</v>
      </c>
      <c r="B51" t="s">
        <v>44</v>
      </c>
      <c r="C51" t="s">
        <v>168</v>
      </c>
      <c r="D51" t="s">
        <v>325</v>
      </c>
      <c r="E51" s="9">
        <v>46010</v>
      </c>
      <c r="F51" s="9">
        <v>46301</v>
      </c>
      <c r="G51">
        <v>240</v>
      </c>
      <c r="H51">
        <v>4</v>
      </c>
      <c r="I51" t="s">
        <v>326</v>
      </c>
      <c r="J51" t="s">
        <v>182</v>
      </c>
      <c r="K51" t="s">
        <v>183</v>
      </c>
      <c r="M51" t="b">
        <f>IF(Table7[[#This Row],[expiry_date]]-Table7[[#This Row],[manufacture_date]] &gt;=0, TRUE, FALSE)</f>
        <v>1</v>
      </c>
    </row>
    <row r="52" spans="1:13" x14ac:dyDescent="0.2">
      <c r="A52" t="s">
        <v>327</v>
      </c>
      <c r="B52" t="s">
        <v>112</v>
      </c>
      <c r="C52" t="s">
        <v>138</v>
      </c>
      <c r="D52" t="s">
        <v>328</v>
      </c>
      <c r="E52" s="9">
        <v>45806</v>
      </c>
      <c r="F52" s="9">
        <v>45959</v>
      </c>
      <c r="G52">
        <v>360</v>
      </c>
      <c r="H52">
        <v>0</v>
      </c>
      <c r="I52" t="s">
        <v>275</v>
      </c>
      <c r="J52" t="s">
        <v>182</v>
      </c>
      <c r="K52" t="s">
        <v>183</v>
      </c>
      <c r="M52" t="b">
        <f>IF(Table7[[#This Row],[expiry_date]]-Table7[[#This Row],[manufacture_date]] &gt;=0, TRUE, FALSE)</f>
        <v>1</v>
      </c>
    </row>
    <row r="53" spans="1:13" x14ac:dyDescent="0.2">
      <c r="A53" t="s">
        <v>329</v>
      </c>
      <c r="B53" t="s">
        <v>28</v>
      </c>
      <c r="C53" t="s">
        <v>138</v>
      </c>
      <c r="D53" t="s">
        <v>330</v>
      </c>
      <c r="E53" s="9">
        <v>45898</v>
      </c>
      <c r="F53" s="9">
        <v>45972</v>
      </c>
      <c r="G53">
        <v>120</v>
      </c>
      <c r="H53">
        <v>0</v>
      </c>
      <c r="I53" t="s">
        <v>331</v>
      </c>
      <c r="J53" t="s">
        <v>149</v>
      </c>
      <c r="K53" t="s">
        <v>183</v>
      </c>
      <c r="M53" t="b">
        <f>IF(Table7[[#This Row],[expiry_date]]-Table7[[#This Row],[manufacture_date]] &gt;=0, TRUE, FALSE)</f>
        <v>1</v>
      </c>
    </row>
    <row r="54" spans="1:13" hidden="1" x14ac:dyDescent="0.2">
      <c r="A54" t="s">
        <v>332</v>
      </c>
      <c r="B54" t="s">
        <v>36</v>
      </c>
      <c r="C54" t="s">
        <v>152</v>
      </c>
      <c r="D54" t="s">
        <v>286</v>
      </c>
      <c r="E54" s="9">
        <v>46165</v>
      </c>
      <c r="F54" s="9">
        <v>46239</v>
      </c>
      <c r="G54">
        <v>960</v>
      </c>
      <c r="H54">
        <v>642</v>
      </c>
      <c r="I54" t="s">
        <v>333</v>
      </c>
      <c r="J54" t="s">
        <v>182</v>
      </c>
      <c r="K54" t="s">
        <v>187</v>
      </c>
      <c r="M54" t="b">
        <f>IF(Table7[[#This Row],[expiry_date]]-Table7[[#This Row],[manufacture_date]] &gt;=0, TRUE, FALSE)</f>
        <v>1</v>
      </c>
    </row>
    <row r="55" spans="1:13" hidden="1" x14ac:dyDescent="0.2">
      <c r="A55" t="s">
        <v>334</v>
      </c>
      <c r="B55" t="s">
        <v>121</v>
      </c>
      <c r="C55" t="s">
        <v>156</v>
      </c>
      <c r="D55" t="s">
        <v>335</v>
      </c>
      <c r="E55" s="9">
        <v>46112</v>
      </c>
      <c r="F55" s="9">
        <v>46377</v>
      </c>
      <c r="G55">
        <v>240</v>
      </c>
      <c r="H55">
        <v>70</v>
      </c>
      <c r="I55" t="s">
        <v>296</v>
      </c>
      <c r="J55" t="s">
        <v>231</v>
      </c>
      <c r="K55" t="s">
        <v>183</v>
      </c>
      <c r="M55" t="b">
        <f>IF(Table7[[#This Row],[expiry_date]]-Table7[[#This Row],[manufacture_date]] &gt;=0, TRUE, FALSE)</f>
        <v>1</v>
      </c>
    </row>
    <row r="56" spans="1:13" x14ac:dyDescent="0.2">
      <c r="A56" t="s">
        <v>336</v>
      </c>
      <c r="B56" t="s">
        <v>25</v>
      </c>
      <c r="C56" t="s">
        <v>138</v>
      </c>
      <c r="D56" t="s">
        <v>337</v>
      </c>
      <c r="E56" s="9">
        <v>46134</v>
      </c>
      <c r="F56" s="9">
        <v>46216</v>
      </c>
      <c r="G56">
        <v>960</v>
      </c>
      <c r="H56">
        <v>467</v>
      </c>
      <c r="I56" t="s">
        <v>338</v>
      </c>
      <c r="J56" t="s">
        <v>182</v>
      </c>
      <c r="K56" t="s">
        <v>183</v>
      </c>
      <c r="M56" t="b">
        <f>IF(Table7[[#This Row],[expiry_date]]-Table7[[#This Row],[manufacture_date]] &gt;=0, TRUE, FALSE)</f>
        <v>1</v>
      </c>
    </row>
    <row r="57" spans="1:13" hidden="1" x14ac:dyDescent="0.2">
      <c r="A57" t="s">
        <v>339</v>
      </c>
      <c r="B57" t="s">
        <v>99</v>
      </c>
      <c r="C57" t="s">
        <v>152</v>
      </c>
      <c r="D57" t="s">
        <v>340</v>
      </c>
      <c r="E57" s="9">
        <v>45830</v>
      </c>
      <c r="F57" s="9">
        <v>46148</v>
      </c>
      <c r="G57">
        <v>480</v>
      </c>
      <c r="H57">
        <v>0</v>
      </c>
      <c r="I57" t="s">
        <v>323</v>
      </c>
      <c r="J57" t="s">
        <v>231</v>
      </c>
      <c r="K57" t="s">
        <v>187</v>
      </c>
      <c r="M57" t="b">
        <f>IF(Table7[[#This Row],[expiry_date]]-Table7[[#This Row],[manufacture_date]] &gt;=0, TRUE, FALSE)</f>
        <v>1</v>
      </c>
    </row>
    <row r="58" spans="1:13" hidden="1" x14ac:dyDescent="0.2">
      <c r="A58" t="s">
        <v>341</v>
      </c>
      <c r="B58" t="s">
        <v>54</v>
      </c>
      <c r="C58" t="s">
        <v>145</v>
      </c>
      <c r="D58" t="s">
        <v>342</v>
      </c>
      <c r="E58" s="9">
        <v>45909</v>
      </c>
      <c r="F58" s="9">
        <v>46238</v>
      </c>
      <c r="G58">
        <v>360</v>
      </c>
      <c r="H58">
        <v>0</v>
      </c>
      <c r="I58" t="s">
        <v>268</v>
      </c>
      <c r="J58" t="s">
        <v>182</v>
      </c>
      <c r="K58" t="s">
        <v>183</v>
      </c>
      <c r="M58" t="b">
        <f>IF(Table7[[#This Row],[expiry_date]]-Table7[[#This Row],[manufacture_date]] &gt;=0, TRUE, FALSE)</f>
        <v>1</v>
      </c>
    </row>
    <row r="59" spans="1:13" hidden="1" x14ac:dyDescent="0.2">
      <c r="A59" t="s">
        <v>343</v>
      </c>
      <c r="B59" t="s">
        <v>84</v>
      </c>
      <c r="C59" t="s">
        <v>160</v>
      </c>
      <c r="D59" t="s">
        <v>344</v>
      </c>
      <c r="E59" s="9">
        <v>46050</v>
      </c>
      <c r="F59" s="9">
        <v>46279</v>
      </c>
      <c r="G59">
        <v>960</v>
      </c>
      <c r="H59">
        <v>0</v>
      </c>
      <c r="I59" t="s">
        <v>345</v>
      </c>
      <c r="J59" t="s">
        <v>182</v>
      </c>
      <c r="K59" t="s">
        <v>183</v>
      </c>
      <c r="M59" t="b">
        <f>IF(Table7[[#This Row],[expiry_date]]-Table7[[#This Row],[manufacture_date]] &gt;=0, TRUE, FALSE)</f>
        <v>1</v>
      </c>
    </row>
    <row r="60" spans="1:13" hidden="1" x14ac:dyDescent="0.2">
      <c r="A60" t="s">
        <v>346</v>
      </c>
      <c r="B60" t="s">
        <v>82</v>
      </c>
      <c r="C60" t="s">
        <v>142</v>
      </c>
      <c r="D60" t="s">
        <v>347</v>
      </c>
      <c r="E60" s="9">
        <v>45892</v>
      </c>
      <c r="F60" s="9">
        <v>46235</v>
      </c>
      <c r="G60">
        <v>600</v>
      </c>
      <c r="H60">
        <v>0</v>
      </c>
      <c r="I60" t="s">
        <v>348</v>
      </c>
      <c r="J60" t="s">
        <v>182</v>
      </c>
      <c r="K60" t="s">
        <v>183</v>
      </c>
      <c r="M60" t="b">
        <f>IF(Table7[[#This Row],[expiry_date]]-Table7[[#This Row],[manufacture_date]] &gt;=0, TRUE, FALSE)</f>
        <v>1</v>
      </c>
    </row>
    <row r="61" spans="1:13" hidden="1" x14ac:dyDescent="0.2">
      <c r="A61" t="s">
        <v>349</v>
      </c>
      <c r="B61" t="s">
        <v>44</v>
      </c>
      <c r="C61" t="s">
        <v>164</v>
      </c>
      <c r="D61" t="s">
        <v>350</v>
      </c>
      <c r="E61" s="9">
        <v>45933</v>
      </c>
      <c r="F61" s="9">
        <v>46157</v>
      </c>
      <c r="G61">
        <v>360</v>
      </c>
      <c r="H61">
        <v>0</v>
      </c>
      <c r="I61" t="s">
        <v>351</v>
      </c>
      <c r="J61" t="s">
        <v>182</v>
      </c>
      <c r="K61" t="s">
        <v>187</v>
      </c>
      <c r="M61" t="b">
        <f>IF(Table7[[#This Row],[expiry_date]]-Table7[[#This Row],[manufacture_date]] &gt;=0, TRUE, FALSE)</f>
        <v>1</v>
      </c>
    </row>
    <row r="62" spans="1:13" hidden="1" x14ac:dyDescent="0.2">
      <c r="A62" t="s">
        <v>352</v>
      </c>
      <c r="B62" t="s">
        <v>80</v>
      </c>
      <c r="C62" t="s">
        <v>154</v>
      </c>
      <c r="D62" t="s">
        <v>353</v>
      </c>
      <c r="E62" s="9">
        <v>45843</v>
      </c>
      <c r="F62" s="9">
        <v>46213</v>
      </c>
      <c r="G62">
        <v>360</v>
      </c>
      <c r="H62">
        <v>0</v>
      </c>
      <c r="I62" t="s">
        <v>354</v>
      </c>
      <c r="J62" t="s">
        <v>149</v>
      </c>
      <c r="K62" t="s">
        <v>183</v>
      </c>
      <c r="M62" t="b">
        <f>IF(Table7[[#This Row],[expiry_date]]-Table7[[#This Row],[manufacture_date]] &gt;=0, TRUE, FALSE)</f>
        <v>1</v>
      </c>
    </row>
    <row r="63" spans="1:13" x14ac:dyDescent="0.2">
      <c r="A63" t="s">
        <v>355</v>
      </c>
      <c r="B63" t="s">
        <v>28</v>
      </c>
      <c r="C63" t="s">
        <v>138</v>
      </c>
      <c r="D63" t="s">
        <v>356</v>
      </c>
      <c r="E63" s="9">
        <v>46219</v>
      </c>
      <c r="F63" s="9">
        <v>46279</v>
      </c>
      <c r="G63">
        <v>600</v>
      </c>
      <c r="H63">
        <v>508</v>
      </c>
      <c r="I63" t="s">
        <v>357</v>
      </c>
      <c r="J63" t="s">
        <v>182</v>
      </c>
      <c r="M63" t="b">
        <f>IF(Table7[[#This Row],[expiry_date]]-Table7[[#This Row],[manufacture_date]] &gt;=0, TRUE, FALSE)</f>
        <v>1</v>
      </c>
    </row>
    <row r="64" spans="1:13" hidden="1" x14ac:dyDescent="0.2">
      <c r="A64" t="s">
        <v>358</v>
      </c>
      <c r="B64" t="s">
        <v>110</v>
      </c>
      <c r="C64" t="s">
        <v>160</v>
      </c>
      <c r="D64" t="s">
        <v>359</v>
      </c>
      <c r="E64" s="9">
        <v>45913</v>
      </c>
      <c r="F64" s="9">
        <v>46089</v>
      </c>
      <c r="G64">
        <v>240</v>
      </c>
      <c r="H64">
        <v>0</v>
      </c>
      <c r="I64" t="s">
        <v>360</v>
      </c>
      <c r="J64" t="s">
        <v>182</v>
      </c>
      <c r="K64" t="s">
        <v>183</v>
      </c>
      <c r="M64" t="b">
        <f>IF(Table7[[#This Row],[expiry_date]]-Table7[[#This Row],[manufacture_date]] &gt;=0, TRUE, FALSE)</f>
        <v>1</v>
      </c>
    </row>
    <row r="65" spans="1:13" hidden="1" x14ac:dyDescent="0.2">
      <c r="A65" t="s">
        <v>361</v>
      </c>
      <c r="B65" t="s">
        <v>99</v>
      </c>
      <c r="C65" t="s">
        <v>142</v>
      </c>
      <c r="D65" t="s">
        <v>362</v>
      </c>
      <c r="E65" s="9">
        <v>46002</v>
      </c>
      <c r="F65" s="9">
        <v>46373</v>
      </c>
      <c r="G65">
        <v>960</v>
      </c>
      <c r="H65">
        <v>0</v>
      </c>
      <c r="I65" t="s">
        <v>363</v>
      </c>
      <c r="J65" t="s">
        <v>182</v>
      </c>
      <c r="K65" t="s">
        <v>183</v>
      </c>
      <c r="M65" t="b">
        <f>IF(Table7[[#This Row],[expiry_date]]-Table7[[#This Row],[manufacture_date]] &gt;=0, TRUE, FALSE)</f>
        <v>1</v>
      </c>
    </row>
    <row r="66" spans="1:13" hidden="1" x14ac:dyDescent="0.2">
      <c r="A66" t="s">
        <v>364</v>
      </c>
      <c r="B66" t="s">
        <v>69</v>
      </c>
      <c r="C66" t="s">
        <v>154</v>
      </c>
      <c r="D66" t="s">
        <v>365</v>
      </c>
      <c r="E66" s="9">
        <v>45750</v>
      </c>
      <c r="F66" s="9">
        <v>46185</v>
      </c>
      <c r="G66">
        <v>120</v>
      </c>
      <c r="H66">
        <v>0</v>
      </c>
      <c r="I66" t="s">
        <v>366</v>
      </c>
      <c r="J66" t="s">
        <v>182</v>
      </c>
      <c r="K66" t="s">
        <v>183</v>
      </c>
      <c r="M66" t="b">
        <f>IF(Table7[[#This Row],[expiry_date]]-Table7[[#This Row],[manufacture_date]] &gt;=0, TRUE, FALSE)</f>
        <v>1</v>
      </c>
    </row>
    <row r="67" spans="1:13" x14ac:dyDescent="0.2">
      <c r="A67" t="s">
        <v>367</v>
      </c>
      <c r="B67" t="s">
        <v>19</v>
      </c>
      <c r="C67" t="s">
        <v>138</v>
      </c>
      <c r="D67" t="s">
        <v>368</v>
      </c>
      <c r="E67" s="9">
        <v>46023</v>
      </c>
      <c r="F67" s="9">
        <v>46103</v>
      </c>
      <c r="G67">
        <v>120</v>
      </c>
      <c r="H67">
        <v>0</v>
      </c>
      <c r="I67" t="s">
        <v>240</v>
      </c>
      <c r="J67" t="s">
        <v>182</v>
      </c>
      <c r="K67" t="s">
        <v>183</v>
      </c>
      <c r="M67" t="b">
        <f>IF(Table7[[#This Row],[expiry_date]]-Table7[[#This Row],[manufacture_date]] &gt;=0, TRUE, FALSE)</f>
        <v>1</v>
      </c>
    </row>
    <row r="68" spans="1:13" x14ac:dyDescent="0.2">
      <c r="A68" t="s">
        <v>369</v>
      </c>
      <c r="B68" t="s">
        <v>19</v>
      </c>
      <c r="C68" t="s">
        <v>138</v>
      </c>
      <c r="D68" t="s">
        <v>370</v>
      </c>
      <c r="E68" s="9">
        <v>46014</v>
      </c>
      <c r="F68" s="9">
        <v>46053</v>
      </c>
      <c r="G68">
        <v>360</v>
      </c>
      <c r="H68">
        <v>0</v>
      </c>
      <c r="I68" t="s">
        <v>371</v>
      </c>
      <c r="J68" t="s">
        <v>182</v>
      </c>
      <c r="K68" t="s">
        <v>194</v>
      </c>
      <c r="M68" t="b">
        <f>IF(Table7[[#This Row],[expiry_date]]-Table7[[#This Row],[manufacture_date]] &gt;=0, TRUE, FALSE)</f>
        <v>1</v>
      </c>
    </row>
    <row r="69" spans="1:13" hidden="1" x14ac:dyDescent="0.2">
      <c r="A69" t="s">
        <v>372</v>
      </c>
      <c r="B69" t="s">
        <v>58</v>
      </c>
      <c r="C69" t="s">
        <v>154</v>
      </c>
      <c r="D69" t="s">
        <v>373</v>
      </c>
      <c r="E69" s="9">
        <v>46073</v>
      </c>
      <c r="F69" s="9">
        <v>46376</v>
      </c>
      <c r="G69">
        <v>600</v>
      </c>
      <c r="H69">
        <v>0</v>
      </c>
      <c r="I69" t="s">
        <v>374</v>
      </c>
      <c r="J69" t="s">
        <v>182</v>
      </c>
      <c r="K69" t="s">
        <v>183</v>
      </c>
      <c r="M69" t="b">
        <f>IF(Table7[[#This Row],[expiry_date]]-Table7[[#This Row],[manufacture_date]] &gt;=0, TRUE, FALSE)</f>
        <v>1</v>
      </c>
    </row>
    <row r="70" spans="1:13" hidden="1" x14ac:dyDescent="0.2">
      <c r="A70" t="s">
        <v>375</v>
      </c>
      <c r="B70" t="s">
        <v>14</v>
      </c>
      <c r="C70" t="s">
        <v>145</v>
      </c>
      <c r="D70" t="s">
        <v>376</v>
      </c>
      <c r="E70" s="9">
        <v>45856</v>
      </c>
      <c r="F70" s="9">
        <v>45904</v>
      </c>
      <c r="G70">
        <v>360</v>
      </c>
      <c r="H70">
        <v>0</v>
      </c>
      <c r="I70" t="s">
        <v>181</v>
      </c>
      <c r="J70" t="s">
        <v>182</v>
      </c>
      <c r="K70" t="s">
        <v>187</v>
      </c>
      <c r="M70" t="b">
        <f>IF(Table7[[#This Row],[expiry_date]]-Table7[[#This Row],[manufacture_date]] &gt;=0, TRUE, FALSE)</f>
        <v>1</v>
      </c>
    </row>
    <row r="71" spans="1:13" hidden="1" x14ac:dyDescent="0.2">
      <c r="A71" t="s">
        <v>377</v>
      </c>
      <c r="B71" t="s">
        <v>33</v>
      </c>
      <c r="C71" t="s">
        <v>166</v>
      </c>
      <c r="D71" t="s">
        <v>378</v>
      </c>
      <c r="E71" s="9">
        <v>45829</v>
      </c>
      <c r="F71" s="9">
        <v>45874</v>
      </c>
      <c r="G71">
        <v>240</v>
      </c>
      <c r="H71">
        <v>0</v>
      </c>
      <c r="I71" t="s">
        <v>293</v>
      </c>
      <c r="J71" t="s">
        <v>182</v>
      </c>
      <c r="K71" t="s">
        <v>183</v>
      </c>
      <c r="M71" t="b">
        <f>IF(Table7[[#This Row],[expiry_date]]-Table7[[#This Row],[manufacture_date]] &gt;=0, TRUE, FALSE)</f>
        <v>1</v>
      </c>
    </row>
    <row r="72" spans="1:13" hidden="1" x14ac:dyDescent="0.2">
      <c r="A72" t="s">
        <v>379</v>
      </c>
      <c r="B72" t="s">
        <v>50</v>
      </c>
      <c r="C72" t="s">
        <v>160</v>
      </c>
      <c r="E72" s="9">
        <v>46152</v>
      </c>
      <c r="F72" s="9">
        <v>46533</v>
      </c>
      <c r="G72">
        <v>240</v>
      </c>
      <c r="H72">
        <v>134</v>
      </c>
      <c r="I72" t="s">
        <v>326</v>
      </c>
      <c r="J72" t="s">
        <v>182</v>
      </c>
      <c r="K72" t="s">
        <v>183</v>
      </c>
      <c r="M72" t="b">
        <f>IF(Table7[[#This Row],[expiry_date]]-Table7[[#This Row],[manufacture_date]] &gt;=0, TRUE, FALSE)</f>
        <v>1</v>
      </c>
    </row>
    <row r="73" spans="1:13" hidden="1" x14ac:dyDescent="0.2">
      <c r="A73" t="s">
        <v>380</v>
      </c>
      <c r="B73" t="s">
        <v>110</v>
      </c>
      <c r="C73" t="s">
        <v>150</v>
      </c>
      <c r="D73" t="s">
        <v>381</v>
      </c>
      <c r="E73" s="9">
        <v>46052</v>
      </c>
      <c r="F73" s="9">
        <v>46343</v>
      </c>
      <c r="G73">
        <v>120</v>
      </c>
      <c r="H73">
        <v>19</v>
      </c>
      <c r="I73" t="s">
        <v>382</v>
      </c>
      <c r="J73" t="s">
        <v>182</v>
      </c>
      <c r="K73" t="s">
        <v>194</v>
      </c>
      <c r="M73" t="b">
        <f>IF(Table7[[#This Row],[expiry_date]]-Table7[[#This Row],[manufacture_date]] &gt;=0, TRUE, FALSE)</f>
        <v>1</v>
      </c>
    </row>
    <row r="74" spans="1:13" x14ac:dyDescent="0.2">
      <c r="A74" t="s">
        <v>383</v>
      </c>
      <c r="B74" t="s">
        <v>14</v>
      </c>
      <c r="C74" t="s">
        <v>138</v>
      </c>
      <c r="D74" t="s">
        <v>384</v>
      </c>
      <c r="E74" s="9">
        <v>46077</v>
      </c>
      <c r="F74" s="9">
        <v>46144</v>
      </c>
      <c r="G74">
        <v>360</v>
      </c>
      <c r="H74">
        <v>0</v>
      </c>
      <c r="I74" t="s">
        <v>385</v>
      </c>
      <c r="J74" t="s">
        <v>182</v>
      </c>
      <c r="K74" t="s">
        <v>187</v>
      </c>
      <c r="M74" t="b">
        <f>IF(Table7[[#This Row],[expiry_date]]-Table7[[#This Row],[manufacture_date]] &gt;=0, TRUE, FALSE)</f>
        <v>1</v>
      </c>
    </row>
    <row r="75" spans="1:13" x14ac:dyDescent="0.2">
      <c r="A75" t="s">
        <v>386</v>
      </c>
      <c r="B75" t="s">
        <v>116</v>
      </c>
      <c r="C75" t="s">
        <v>138</v>
      </c>
      <c r="D75" t="s">
        <v>387</v>
      </c>
      <c r="E75" s="9">
        <v>46152</v>
      </c>
      <c r="F75" s="9">
        <v>46416</v>
      </c>
      <c r="G75">
        <v>600</v>
      </c>
      <c r="H75">
        <v>0</v>
      </c>
      <c r="I75" t="s">
        <v>388</v>
      </c>
      <c r="J75" t="s">
        <v>182</v>
      </c>
      <c r="K75" t="s">
        <v>183</v>
      </c>
      <c r="M75" t="b">
        <f>IF(Table7[[#This Row],[expiry_date]]-Table7[[#This Row],[manufacture_date]] &gt;=0, TRUE, FALSE)</f>
        <v>1</v>
      </c>
    </row>
    <row r="76" spans="1:13" hidden="1" x14ac:dyDescent="0.2">
      <c r="A76" t="s">
        <v>389</v>
      </c>
      <c r="B76" t="s">
        <v>50</v>
      </c>
      <c r="C76" t="s">
        <v>138</v>
      </c>
      <c r="D76" t="s">
        <v>390</v>
      </c>
      <c r="E76" s="9">
        <v>46140</v>
      </c>
      <c r="F76" s="9"/>
      <c r="G76">
        <v>120</v>
      </c>
      <c r="H76">
        <v>65</v>
      </c>
      <c r="I76" t="s">
        <v>391</v>
      </c>
      <c r="J76" t="s">
        <v>182</v>
      </c>
      <c r="K76" t="s">
        <v>183</v>
      </c>
      <c r="M76" t="b">
        <f>IF(Table7[[#This Row],[expiry_date]]-Table7[[#This Row],[manufacture_date]] &gt;=0, TRUE, FALSE)</f>
        <v>0</v>
      </c>
    </row>
    <row r="77" spans="1:13" hidden="1" x14ac:dyDescent="0.2">
      <c r="A77" t="s">
        <v>392</v>
      </c>
      <c r="B77" t="s">
        <v>25</v>
      </c>
      <c r="C77" t="s">
        <v>158</v>
      </c>
      <c r="D77" t="s">
        <v>393</v>
      </c>
      <c r="E77" s="9">
        <v>46041</v>
      </c>
      <c r="F77" s="9">
        <v>46080</v>
      </c>
      <c r="G77">
        <v>600</v>
      </c>
      <c r="H77">
        <v>66</v>
      </c>
      <c r="I77" t="s">
        <v>338</v>
      </c>
      <c r="J77" t="s">
        <v>182</v>
      </c>
      <c r="K77" t="s">
        <v>183</v>
      </c>
      <c r="M77" t="b">
        <f>IF(Table7[[#This Row],[expiry_date]]-Table7[[#This Row],[manufacture_date]] &gt;=0, TRUE, FALSE)</f>
        <v>1</v>
      </c>
    </row>
    <row r="78" spans="1:13" hidden="1" x14ac:dyDescent="0.2">
      <c r="A78" t="s">
        <v>394</v>
      </c>
      <c r="B78" t="s">
        <v>121</v>
      </c>
      <c r="C78" t="s">
        <v>152</v>
      </c>
      <c r="D78" t="s">
        <v>395</v>
      </c>
      <c r="E78" s="9">
        <v>45778</v>
      </c>
      <c r="F78" s="9">
        <v>46125</v>
      </c>
      <c r="G78">
        <v>600</v>
      </c>
      <c r="H78">
        <v>0</v>
      </c>
      <c r="I78" t="s">
        <v>354</v>
      </c>
      <c r="J78" t="s">
        <v>182</v>
      </c>
      <c r="K78" t="s">
        <v>183</v>
      </c>
      <c r="M78" t="b">
        <f>IF(Table7[[#This Row],[expiry_date]]-Table7[[#This Row],[manufacture_date]] &gt;=0, TRUE, FALSE)</f>
        <v>1</v>
      </c>
    </row>
    <row r="79" spans="1:13" hidden="1" x14ac:dyDescent="0.2">
      <c r="A79" t="s">
        <v>396</v>
      </c>
      <c r="B79" t="s">
        <v>118</v>
      </c>
      <c r="C79" t="s">
        <v>147</v>
      </c>
      <c r="D79" t="s">
        <v>397</v>
      </c>
      <c r="E79" s="9">
        <v>46140</v>
      </c>
      <c r="F79" s="9">
        <v>46299</v>
      </c>
      <c r="G79">
        <v>360</v>
      </c>
      <c r="H79">
        <v>74</v>
      </c>
      <c r="I79" t="s">
        <v>312</v>
      </c>
      <c r="J79" t="s">
        <v>182</v>
      </c>
      <c r="K79" t="s">
        <v>183</v>
      </c>
      <c r="M79" t="b">
        <f>IF(Table7[[#This Row],[expiry_date]]-Table7[[#This Row],[manufacture_date]] &gt;=0, TRUE, FALSE)</f>
        <v>1</v>
      </c>
    </row>
    <row r="80" spans="1:13" hidden="1" x14ac:dyDescent="0.2">
      <c r="A80" t="s">
        <v>398</v>
      </c>
      <c r="B80" t="s">
        <v>67</v>
      </c>
      <c r="C80" t="s">
        <v>152</v>
      </c>
      <c r="D80" t="s">
        <v>399</v>
      </c>
      <c r="E80" s="9">
        <v>45720</v>
      </c>
      <c r="F80" s="9">
        <v>46157</v>
      </c>
      <c r="G80">
        <v>360</v>
      </c>
      <c r="H80">
        <v>0</v>
      </c>
      <c r="I80" t="s">
        <v>400</v>
      </c>
      <c r="J80" t="s">
        <v>182</v>
      </c>
      <c r="K80" t="s">
        <v>194</v>
      </c>
      <c r="M80" t="b">
        <f>IF(Table7[[#This Row],[expiry_date]]-Table7[[#This Row],[manufacture_date]] &gt;=0, TRUE, FALSE)</f>
        <v>1</v>
      </c>
    </row>
    <row r="81" spans="1:13" hidden="1" x14ac:dyDescent="0.2">
      <c r="A81" t="s">
        <v>401</v>
      </c>
      <c r="B81" t="s">
        <v>93</v>
      </c>
      <c r="C81" t="s">
        <v>168</v>
      </c>
      <c r="D81" t="s">
        <v>402</v>
      </c>
      <c r="E81" s="9">
        <v>45878</v>
      </c>
      <c r="F81" s="9">
        <v>46214</v>
      </c>
      <c r="G81">
        <v>480</v>
      </c>
      <c r="H81">
        <v>0</v>
      </c>
      <c r="I81" t="s">
        <v>360</v>
      </c>
      <c r="J81" t="s">
        <v>182</v>
      </c>
      <c r="K81" t="s">
        <v>183</v>
      </c>
      <c r="M81" t="b">
        <f>IF(Table7[[#This Row],[expiry_date]]-Table7[[#This Row],[manufacture_date]] &gt;=0, TRUE, FALSE)</f>
        <v>1</v>
      </c>
    </row>
    <row r="82" spans="1:13" hidden="1" x14ac:dyDescent="0.2">
      <c r="A82" t="s">
        <v>403</v>
      </c>
      <c r="B82" t="s">
        <v>82</v>
      </c>
      <c r="C82" t="s">
        <v>150</v>
      </c>
      <c r="D82" t="s">
        <v>404</v>
      </c>
      <c r="E82" s="9">
        <v>45715</v>
      </c>
      <c r="F82" s="9">
        <v>46051</v>
      </c>
      <c r="G82">
        <v>360</v>
      </c>
      <c r="H82">
        <v>0</v>
      </c>
      <c r="I82" t="s">
        <v>405</v>
      </c>
      <c r="J82" t="s">
        <v>182</v>
      </c>
      <c r="K82" t="s">
        <v>183</v>
      </c>
      <c r="M82" t="b">
        <f>IF(Table7[[#This Row],[expiry_date]]-Table7[[#This Row],[manufacture_date]] &gt;=0, TRUE, FALSE)</f>
        <v>1</v>
      </c>
    </row>
    <row r="83" spans="1:13" hidden="1" x14ac:dyDescent="0.2">
      <c r="A83" t="s">
        <v>406</v>
      </c>
      <c r="B83" t="s">
        <v>129</v>
      </c>
      <c r="C83" t="s">
        <v>154</v>
      </c>
      <c r="D83" t="s">
        <v>407</v>
      </c>
      <c r="E83" s="9">
        <v>45801</v>
      </c>
      <c r="F83" s="9">
        <v>45968</v>
      </c>
      <c r="G83">
        <v>240</v>
      </c>
      <c r="H83">
        <v>0</v>
      </c>
      <c r="I83" t="s">
        <v>326</v>
      </c>
      <c r="J83" t="s">
        <v>182</v>
      </c>
      <c r="K83" t="s">
        <v>183</v>
      </c>
      <c r="M83" t="b">
        <f>IF(Table7[[#This Row],[expiry_date]]-Table7[[#This Row],[manufacture_date]] &gt;=0, TRUE, FALSE)</f>
        <v>1</v>
      </c>
    </row>
    <row r="84" spans="1:13" hidden="1" x14ac:dyDescent="0.2">
      <c r="A84" t="s">
        <v>408</v>
      </c>
      <c r="B84" t="s">
        <v>54</v>
      </c>
      <c r="C84" t="s">
        <v>154</v>
      </c>
      <c r="D84" t="s">
        <v>409</v>
      </c>
      <c r="E84" s="9">
        <v>46062</v>
      </c>
      <c r="F84" s="9">
        <v>46218</v>
      </c>
      <c r="G84">
        <v>960</v>
      </c>
      <c r="H84">
        <v>0</v>
      </c>
      <c r="I84" t="s">
        <v>281</v>
      </c>
      <c r="J84" t="s">
        <v>182</v>
      </c>
      <c r="K84" t="s">
        <v>194</v>
      </c>
      <c r="M84" t="b">
        <f>IF(Table7[[#This Row],[expiry_date]]-Table7[[#This Row],[manufacture_date]] &gt;=0, TRUE, FALSE)</f>
        <v>1</v>
      </c>
    </row>
    <row r="85" spans="1:13" hidden="1" x14ac:dyDescent="0.2">
      <c r="A85" t="s">
        <v>410</v>
      </c>
      <c r="B85" t="s">
        <v>82</v>
      </c>
      <c r="C85" t="s">
        <v>152</v>
      </c>
      <c r="E85" s="9">
        <v>46032</v>
      </c>
      <c r="F85" s="9">
        <v>46295</v>
      </c>
      <c r="G85">
        <v>120</v>
      </c>
      <c r="H85">
        <v>28</v>
      </c>
      <c r="I85" t="s">
        <v>260</v>
      </c>
      <c r="J85" t="s">
        <v>182</v>
      </c>
      <c r="K85" t="s">
        <v>183</v>
      </c>
      <c r="M85" t="b">
        <f>IF(Table7[[#This Row],[expiry_date]]-Table7[[#This Row],[manufacture_date]] &gt;=0, TRUE, FALSE)</f>
        <v>1</v>
      </c>
    </row>
    <row r="86" spans="1:13" hidden="1" x14ac:dyDescent="0.2">
      <c r="A86" t="s">
        <v>411</v>
      </c>
      <c r="B86" t="s">
        <v>42</v>
      </c>
      <c r="C86" t="s">
        <v>160</v>
      </c>
      <c r="D86" t="s">
        <v>412</v>
      </c>
      <c r="E86" s="9">
        <v>45914</v>
      </c>
      <c r="F86" s="9">
        <v>45999</v>
      </c>
      <c r="G86">
        <v>480</v>
      </c>
      <c r="H86">
        <v>0</v>
      </c>
      <c r="I86" t="s">
        <v>413</v>
      </c>
      <c r="K86" t="s">
        <v>187</v>
      </c>
      <c r="M86" t="b">
        <f>IF(Table7[[#This Row],[expiry_date]]-Table7[[#This Row],[manufacture_date]] &gt;=0, TRUE, FALSE)</f>
        <v>1</v>
      </c>
    </row>
    <row r="87" spans="1:13" hidden="1" x14ac:dyDescent="0.2">
      <c r="A87" t="s">
        <v>414</v>
      </c>
      <c r="B87" t="s">
        <v>93</v>
      </c>
      <c r="C87" t="s">
        <v>152</v>
      </c>
      <c r="D87" t="s">
        <v>415</v>
      </c>
      <c r="E87" s="9">
        <v>46091</v>
      </c>
      <c r="F87" s="9">
        <v>46451</v>
      </c>
      <c r="G87">
        <v>600</v>
      </c>
      <c r="H87">
        <v>0</v>
      </c>
      <c r="I87" t="s">
        <v>416</v>
      </c>
      <c r="J87" t="s">
        <v>182</v>
      </c>
      <c r="K87" t="s">
        <v>194</v>
      </c>
      <c r="M87" t="b">
        <f>IF(Table7[[#This Row],[expiry_date]]-Table7[[#This Row],[manufacture_date]] &gt;=0, TRUE, FALSE)</f>
        <v>1</v>
      </c>
    </row>
    <row r="88" spans="1:13" hidden="1" x14ac:dyDescent="0.2">
      <c r="A88" t="s">
        <v>417</v>
      </c>
      <c r="B88" t="s">
        <v>19</v>
      </c>
      <c r="C88" t="s">
        <v>147</v>
      </c>
      <c r="D88" t="s">
        <v>418</v>
      </c>
      <c r="E88" s="9">
        <v>46202</v>
      </c>
      <c r="F88" s="9">
        <v>46246</v>
      </c>
      <c r="G88">
        <v>360</v>
      </c>
      <c r="H88">
        <v>216</v>
      </c>
      <c r="I88" t="s">
        <v>419</v>
      </c>
      <c r="J88" t="s">
        <v>182</v>
      </c>
      <c r="K88" t="s">
        <v>183</v>
      </c>
      <c r="M88" t="b">
        <f>IF(Table7[[#This Row],[expiry_date]]-Table7[[#This Row],[manufacture_date]] &gt;=0, TRUE, FALSE)</f>
        <v>1</v>
      </c>
    </row>
    <row r="89" spans="1:13" hidden="1" x14ac:dyDescent="0.2">
      <c r="A89" t="s">
        <v>420</v>
      </c>
      <c r="B89" t="s">
        <v>25</v>
      </c>
      <c r="C89" t="s">
        <v>160</v>
      </c>
      <c r="D89" t="s">
        <v>421</v>
      </c>
      <c r="E89" s="9">
        <v>45844</v>
      </c>
      <c r="F89" s="9">
        <v>45916</v>
      </c>
      <c r="G89">
        <v>600</v>
      </c>
      <c r="H89">
        <v>0</v>
      </c>
      <c r="I89" t="s">
        <v>422</v>
      </c>
      <c r="J89" t="s">
        <v>182</v>
      </c>
      <c r="K89" t="s">
        <v>183</v>
      </c>
      <c r="M89" t="b">
        <f>IF(Table7[[#This Row],[expiry_date]]-Table7[[#This Row],[manufacture_date]] &gt;=0, TRUE, FALSE)</f>
        <v>1</v>
      </c>
    </row>
    <row r="90" spans="1:13" hidden="1" x14ac:dyDescent="0.2">
      <c r="A90" t="s">
        <v>423</v>
      </c>
      <c r="B90" t="s">
        <v>105</v>
      </c>
      <c r="C90" t="s">
        <v>150</v>
      </c>
      <c r="D90" t="s">
        <v>424</v>
      </c>
      <c r="E90" s="9">
        <v>46181</v>
      </c>
      <c r="F90" s="9">
        <v>46558</v>
      </c>
      <c r="G90">
        <v>960</v>
      </c>
      <c r="H90">
        <v>596</v>
      </c>
      <c r="I90" t="s">
        <v>425</v>
      </c>
      <c r="J90" t="s">
        <v>182</v>
      </c>
      <c r="K90" t="s">
        <v>183</v>
      </c>
      <c r="M90" t="b">
        <f>IF(Table7[[#This Row],[expiry_date]]-Table7[[#This Row],[manufacture_date]] &gt;=0, TRUE, FALSE)</f>
        <v>1</v>
      </c>
    </row>
    <row r="91" spans="1:13" hidden="1" x14ac:dyDescent="0.2">
      <c r="A91" t="s">
        <v>426</v>
      </c>
      <c r="B91" t="s">
        <v>44</v>
      </c>
      <c r="C91" t="s">
        <v>168</v>
      </c>
      <c r="D91" t="s">
        <v>427</v>
      </c>
      <c r="E91" s="9">
        <v>45819</v>
      </c>
      <c r="F91" s="9">
        <v>46049</v>
      </c>
      <c r="G91">
        <v>960</v>
      </c>
      <c r="H91">
        <v>0</v>
      </c>
      <c r="I91" t="s">
        <v>243</v>
      </c>
      <c r="J91" t="s">
        <v>182</v>
      </c>
      <c r="K91" t="s">
        <v>183</v>
      </c>
      <c r="M91" t="b">
        <f>IF(Table7[[#This Row],[expiry_date]]-Table7[[#This Row],[manufacture_date]] &gt;=0, TRUE, FALSE)</f>
        <v>1</v>
      </c>
    </row>
    <row r="92" spans="1:13" hidden="1" x14ac:dyDescent="0.2">
      <c r="A92" t="s">
        <v>428</v>
      </c>
      <c r="B92" t="s">
        <v>36</v>
      </c>
      <c r="C92" t="s">
        <v>168</v>
      </c>
      <c r="D92" t="s">
        <v>429</v>
      </c>
      <c r="E92" s="9">
        <v>46182</v>
      </c>
      <c r="F92" s="9">
        <v>46241</v>
      </c>
      <c r="G92">
        <v>600</v>
      </c>
      <c r="H92">
        <v>678</v>
      </c>
      <c r="I92" t="s">
        <v>257</v>
      </c>
      <c r="J92" t="s">
        <v>182</v>
      </c>
      <c r="K92" t="s">
        <v>194</v>
      </c>
      <c r="L92" t="s">
        <v>3140</v>
      </c>
      <c r="M92" t="b">
        <f>IF(Table7[[#This Row],[expiry_date]]-Table7[[#This Row],[manufacture_date]] &gt;=0, TRUE, FALSE)</f>
        <v>1</v>
      </c>
    </row>
    <row r="93" spans="1:13" hidden="1" x14ac:dyDescent="0.2">
      <c r="A93" t="s">
        <v>430</v>
      </c>
      <c r="B93" t="s">
        <v>88</v>
      </c>
      <c r="C93" t="s">
        <v>152</v>
      </c>
      <c r="D93" t="s">
        <v>431</v>
      </c>
      <c r="E93" s="9">
        <v>45975</v>
      </c>
      <c r="F93" s="9">
        <v>46254</v>
      </c>
      <c r="G93">
        <v>480</v>
      </c>
      <c r="H93">
        <v>0</v>
      </c>
      <c r="I93" t="s">
        <v>432</v>
      </c>
      <c r="J93" t="s">
        <v>182</v>
      </c>
      <c r="K93" t="s">
        <v>183</v>
      </c>
      <c r="M93" t="b">
        <f>IF(Table7[[#This Row],[expiry_date]]-Table7[[#This Row],[manufacture_date]] &gt;=0, TRUE, FALSE)</f>
        <v>1</v>
      </c>
    </row>
    <row r="94" spans="1:13" x14ac:dyDescent="0.2">
      <c r="A94" t="s">
        <v>433</v>
      </c>
      <c r="B94" t="s">
        <v>33</v>
      </c>
      <c r="C94" t="s">
        <v>138</v>
      </c>
      <c r="D94" t="s">
        <v>434</v>
      </c>
      <c r="E94" s="9">
        <v>46046</v>
      </c>
      <c r="F94" s="9">
        <v>46129</v>
      </c>
      <c r="G94">
        <v>480</v>
      </c>
      <c r="H94">
        <v>0</v>
      </c>
      <c r="I94" t="s">
        <v>284</v>
      </c>
      <c r="J94" t="s">
        <v>182</v>
      </c>
      <c r="K94" t="s">
        <v>183</v>
      </c>
      <c r="M94" t="b">
        <f>IF(Table7[[#This Row],[expiry_date]]-Table7[[#This Row],[manufacture_date]] &gt;=0, TRUE, FALSE)</f>
        <v>1</v>
      </c>
    </row>
    <row r="95" spans="1:13" x14ac:dyDescent="0.2">
      <c r="A95" t="s">
        <v>435</v>
      </c>
      <c r="B95" t="s">
        <v>28</v>
      </c>
      <c r="C95" t="s">
        <v>138</v>
      </c>
      <c r="D95" t="s">
        <v>436</v>
      </c>
      <c r="E95" s="9">
        <v>46019</v>
      </c>
      <c r="F95" s="9">
        <v>46089</v>
      </c>
      <c r="G95">
        <v>360</v>
      </c>
      <c r="H95">
        <v>0</v>
      </c>
      <c r="I95" t="s">
        <v>437</v>
      </c>
      <c r="J95" t="s">
        <v>149</v>
      </c>
      <c r="K95" t="s">
        <v>183</v>
      </c>
      <c r="M95" t="b">
        <f>IF(Table7[[#This Row],[expiry_date]]-Table7[[#This Row],[manufacture_date]] &gt;=0, TRUE, FALSE)</f>
        <v>1</v>
      </c>
    </row>
    <row r="96" spans="1:13" hidden="1" x14ac:dyDescent="0.2">
      <c r="A96" t="s">
        <v>438</v>
      </c>
      <c r="B96" t="s">
        <v>105</v>
      </c>
      <c r="C96" t="s">
        <v>158</v>
      </c>
      <c r="D96" t="s">
        <v>439</v>
      </c>
      <c r="E96" s="9">
        <v>46074</v>
      </c>
      <c r="F96" s="9">
        <v>46381</v>
      </c>
      <c r="G96">
        <v>960</v>
      </c>
      <c r="H96">
        <v>0</v>
      </c>
      <c r="I96" t="s">
        <v>197</v>
      </c>
      <c r="J96" t="s">
        <v>182</v>
      </c>
      <c r="K96" t="s">
        <v>187</v>
      </c>
      <c r="M96" t="b">
        <f>IF(Table7[[#This Row],[expiry_date]]-Table7[[#This Row],[manufacture_date]] &gt;=0, TRUE, FALSE)</f>
        <v>1</v>
      </c>
    </row>
    <row r="97" spans="1:13" hidden="1" x14ac:dyDescent="0.2">
      <c r="A97" t="s">
        <v>440</v>
      </c>
      <c r="B97" t="s">
        <v>121</v>
      </c>
      <c r="C97" t="s">
        <v>166</v>
      </c>
      <c r="D97" t="s">
        <v>441</v>
      </c>
      <c r="E97" s="9">
        <v>45699</v>
      </c>
      <c r="F97" s="9">
        <v>46001</v>
      </c>
      <c r="G97">
        <v>480</v>
      </c>
      <c r="H97">
        <v>0</v>
      </c>
      <c r="I97" t="s">
        <v>442</v>
      </c>
      <c r="J97" t="s">
        <v>269</v>
      </c>
      <c r="K97" t="s">
        <v>183</v>
      </c>
      <c r="M97" t="b">
        <f>IF(Table7[[#This Row],[expiry_date]]-Table7[[#This Row],[manufacture_date]] &gt;=0, TRUE, FALSE)</f>
        <v>1</v>
      </c>
    </row>
    <row r="98" spans="1:13" hidden="1" x14ac:dyDescent="0.2">
      <c r="A98" t="s">
        <v>443</v>
      </c>
      <c r="B98" t="s">
        <v>99</v>
      </c>
      <c r="C98" t="s">
        <v>145</v>
      </c>
      <c r="D98" t="s">
        <v>444</v>
      </c>
      <c r="E98" s="9">
        <v>45784</v>
      </c>
      <c r="F98" s="9">
        <v>45982</v>
      </c>
      <c r="G98">
        <v>120</v>
      </c>
      <c r="H98">
        <v>0</v>
      </c>
      <c r="I98" t="s">
        <v>445</v>
      </c>
      <c r="J98" t="s">
        <v>182</v>
      </c>
      <c r="K98" t="s">
        <v>183</v>
      </c>
      <c r="M98" t="b">
        <f>IF(Table7[[#This Row],[expiry_date]]-Table7[[#This Row],[manufacture_date]] &gt;=0, TRUE, FALSE)</f>
        <v>1</v>
      </c>
    </row>
    <row r="99" spans="1:13" hidden="1" x14ac:dyDescent="0.2">
      <c r="A99" t="s">
        <v>446</v>
      </c>
      <c r="B99" t="s">
        <v>63</v>
      </c>
      <c r="C99" t="s">
        <v>156</v>
      </c>
      <c r="D99" t="s">
        <v>447</v>
      </c>
      <c r="E99" s="9">
        <v>46161</v>
      </c>
      <c r="F99" s="9">
        <v>46565</v>
      </c>
      <c r="G99">
        <v>480</v>
      </c>
      <c r="H99">
        <v>321</v>
      </c>
      <c r="I99" t="s">
        <v>448</v>
      </c>
      <c r="J99" t="s">
        <v>182</v>
      </c>
      <c r="M99" t="b">
        <f>IF(Table7[[#This Row],[expiry_date]]-Table7[[#This Row],[manufacture_date]] &gt;=0, TRUE, FALSE)</f>
        <v>1</v>
      </c>
    </row>
    <row r="100" spans="1:13" hidden="1" x14ac:dyDescent="0.2">
      <c r="A100" t="s">
        <v>449</v>
      </c>
      <c r="B100" t="s">
        <v>54</v>
      </c>
      <c r="C100" t="s">
        <v>164</v>
      </c>
      <c r="E100" s="9">
        <v>45902</v>
      </c>
      <c r="F100" s="9">
        <v>46293</v>
      </c>
      <c r="G100">
        <v>360</v>
      </c>
      <c r="H100">
        <v>0</v>
      </c>
      <c r="I100" t="s">
        <v>312</v>
      </c>
      <c r="J100" t="s">
        <v>182</v>
      </c>
      <c r="K100" t="s">
        <v>183</v>
      </c>
      <c r="M100" t="b">
        <f>IF(Table7[[#This Row],[expiry_date]]-Table7[[#This Row],[manufacture_date]] &gt;=0, TRUE, FALSE)</f>
        <v>1</v>
      </c>
    </row>
    <row r="101" spans="1:13" hidden="1" x14ac:dyDescent="0.2">
      <c r="A101" t="s">
        <v>450</v>
      </c>
      <c r="B101" t="s">
        <v>74</v>
      </c>
      <c r="C101" t="s">
        <v>142</v>
      </c>
      <c r="D101" t="s">
        <v>451</v>
      </c>
      <c r="E101" s="9">
        <v>45821</v>
      </c>
      <c r="F101" s="9">
        <v>46045</v>
      </c>
      <c r="G101">
        <v>120</v>
      </c>
      <c r="H101">
        <v>0</v>
      </c>
      <c r="I101" t="s">
        <v>315</v>
      </c>
      <c r="J101" t="s">
        <v>182</v>
      </c>
      <c r="K101" t="s">
        <v>183</v>
      </c>
      <c r="M101" t="b">
        <f>IF(Table7[[#This Row],[expiry_date]]-Table7[[#This Row],[manufacture_date]] &gt;=0, TRUE, FALSE)</f>
        <v>1</v>
      </c>
    </row>
    <row r="102" spans="1:13" hidden="1" x14ac:dyDescent="0.2">
      <c r="A102" t="s">
        <v>452</v>
      </c>
      <c r="B102" t="s">
        <v>105</v>
      </c>
      <c r="C102" t="s">
        <v>147</v>
      </c>
      <c r="D102" t="s">
        <v>453</v>
      </c>
      <c r="E102" s="9">
        <v>45917</v>
      </c>
      <c r="F102" s="9">
        <v>46129</v>
      </c>
      <c r="G102">
        <v>120</v>
      </c>
      <c r="H102">
        <v>0</v>
      </c>
      <c r="I102" t="s">
        <v>454</v>
      </c>
      <c r="K102" t="s">
        <v>183</v>
      </c>
      <c r="M102" t="b">
        <f>IF(Table7[[#This Row],[expiry_date]]-Table7[[#This Row],[manufacture_date]] &gt;=0, TRUE, FALSE)</f>
        <v>1</v>
      </c>
    </row>
    <row r="103" spans="1:13" hidden="1" x14ac:dyDescent="0.2">
      <c r="A103" t="s">
        <v>455</v>
      </c>
      <c r="B103" t="s">
        <v>110</v>
      </c>
      <c r="C103" t="s">
        <v>150</v>
      </c>
      <c r="D103" t="s">
        <v>456</v>
      </c>
      <c r="E103" s="9">
        <v>46159</v>
      </c>
      <c r="F103" s="9">
        <v>46431</v>
      </c>
      <c r="G103">
        <v>960</v>
      </c>
      <c r="H103">
        <v>473</v>
      </c>
      <c r="I103" t="s">
        <v>457</v>
      </c>
      <c r="J103" t="s">
        <v>182</v>
      </c>
      <c r="K103" t="s">
        <v>187</v>
      </c>
      <c r="M103" t="b">
        <f>IF(Table7[[#This Row],[expiry_date]]-Table7[[#This Row],[manufacture_date]] &gt;=0, TRUE, FALSE)</f>
        <v>1</v>
      </c>
    </row>
    <row r="104" spans="1:13" hidden="1" x14ac:dyDescent="0.2">
      <c r="A104" t="s">
        <v>458</v>
      </c>
      <c r="B104" t="s">
        <v>17</v>
      </c>
      <c r="C104" t="s">
        <v>150</v>
      </c>
      <c r="D104" t="s">
        <v>459</v>
      </c>
      <c r="E104" s="9">
        <v>46078</v>
      </c>
      <c r="F104" s="9">
        <v>46163</v>
      </c>
      <c r="G104">
        <v>480</v>
      </c>
      <c r="H104">
        <v>0</v>
      </c>
      <c r="I104" t="s">
        <v>460</v>
      </c>
      <c r="J104" t="s">
        <v>182</v>
      </c>
      <c r="K104" t="s">
        <v>183</v>
      </c>
      <c r="M104" t="b">
        <f>IF(Table7[[#This Row],[expiry_date]]-Table7[[#This Row],[manufacture_date]] &gt;=0, TRUE, FALSE)</f>
        <v>1</v>
      </c>
    </row>
    <row r="105" spans="1:13" hidden="1" x14ac:dyDescent="0.2">
      <c r="A105" t="s">
        <v>461</v>
      </c>
      <c r="B105" t="s">
        <v>33</v>
      </c>
      <c r="C105" t="s">
        <v>164</v>
      </c>
      <c r="E105" s="9">
        <v>46151</v>
      </c>
      <c r="F105" s="9"/>
      <c r="G105">
        <v>240</v>
      </c>
      <c r="H105">
        <v>52</v>
      </c>
      <c r="I105" t="s">
        <v>462</v>
      </c>
      <c r="J105" t="s">
        <v>182</v>
      </c>
      <c r="K105" t="s">
        <v>183</v>
      </c>
      <c r="M105" t="b">
        <f>IF(Table7[[#This Row],[expiry_date]]-Table7[[#This Row],[manufacture_date]] &gt;=0, TRUE, FALSE)</f>
        <v>0</v>
      </c>
    </row>
    <row r="106" spans="1:13" hidden="1" x14ac:dyDescent="0.2">
      <c r="A106" t="s">
        <v>463</v>
      </c>
      <c r="B106" t="s">
        <v>105</v>
      </c>
      <c r="C106" t="s">
        <v>154</v>
      </c>
      <c r="E106" s="9">
        <v>46087</v>
      </c>
      <c r="F106" s="9">
        <v>46448</v>
      </c>
      <c r="G106">
        <v>480</v>
      </c>
      <c r="H106">
        <v>122</v>
      </c>
      <c r="I106" t="s">
        <v>281</v>
      </c>
      <c r="J106" t="s">
        <v>182</v>
      </c>
      <c r="K106" t="s">
        <v>183</v>
      </c>
      <c r="M106" t="b">
        <f>IF(Table7[[#This Row],[expiry_date]]-Table7[[#This Row],[manufacture_date]] &gt;=0, TRUE, FALSE)</f>
        <v>1</v>
      </c>
    </row>
    <row r="107" spans="1:13" x14ac:dyDescent="0.2">
      <c r="A107" t="s">
        <v>464</v>
      </c>
      <c r="B107" t="s">
        <v>65</v>
      </c>
      <c r="C107" t="s">
        <v>138</v>
      </c>
      <c r="D107" t="s">
        <v>465</v>
      </c>
      <c r="E107" s="9">
        <v>45683</v>
      </c>
      <c r="F107" s="9">
        <v>46019</v>
      </c>
      <c r="G107">
        <v>960</v>
      </c>
      <c r="H107">
        <v>0</v>
      </c>
      <c r="I107" t="s">
        <v>466</v>
      </c>
      <c r="J107" t="s">
        <v>182</v>
      </c>
      <c r="K107" t="s">
        <v>194</v>
      </c>
      <c r="M107" t="b">
        <f>IF(Table7[[#This Row],[expiry_date]]-Table7[[#This Row],[manufacture_date]] &gt;=0, TRUE, FALSE)</f>
        <v>1</v>
      </c>
    </row>
    <row r="108" spans="1:13" hidden="1" x14ac:dyDescent="0.2">
      <c r="A108" t="s">
        <v>467</v>
      </c>
      <c r="B108" t="s">
        <v>56</v>
      </c>
      <c r="C108" t="s">
        <v>164</v>
      </c>
      <c r="D108" t="s">
        <v>468</v>
      </c>
      <c r="E108" s="9">
        <v>45898</v>
      </c>
      <c r="F108" s="9">
        <v>46104</v>
      </c>
      <c r="G108">
        <v>240</v>
      </c>
      <c r="H108">
        <v>0</v>
      </c>
      <c r="I108" t="s">
        <v>416</v>
      </c>
      <c r="J108" t="s">
        <v>182</v>
      </c>
      <c r="K108" t="s">
        <v>183</v>
      </c>
      <c r="M108" t="b">
        <f>IF(Table7[[#This Row],[expiry_date]]-Table7[[#This Row],[manufacture_date]] &gt;=0, TRUE, FALSE)</f>
        <v>1</v>
      </c>
    </row>
    <row r="109" spans="1:13" hidden="1" x14ac:dyDescent="0.2">
      <c r="A109" t="s">
        <v>469</v>
      </c>
      <c r="B109" t="s">
        <v>129</v>
      </c>
      <c r="C109" t="s">
        <v>160</v>
      </c>
      <c r="D109" t="s">
        <v>470</v>
      </c>
      <c r="E109" s="9">
        <v>45976</v>
      </c>
      <c r="F109" s="9">
        <v>46261</v>
      </c>
      <c r="G109">
        <v>960</v>
      </c>
      <c r="H109">
        <v>0</v>
      </c>
      <c r="I109" t="s">
        <v>260</v>
      </c>
      <c r="J109" t="s">
        <v>269</v>
      </c>
      <c r="K109" t="s">
        <v>183</v>
      </c>
      <c r="M109" t="b">
        <f>IF(Table7[[#This Row],[expiry_date]]-Table7[[#This Row],[manufacture_date]] &gt;=0, TRUE, FALSE)</f>
        <v>1</v>
      </c>
    </row>
    <row r="110" spans="1:13" x14ac:dyDescent="0.2">
      <c r="A110" t="s">
        <v>471</v>
      </c>
      <c r="B110" t="s">
        <v>114</v>
      </c>
      <c r="C110" t="s">
        <v>138</v>
      </c>
      <c r="D110" t="s">
        <v>472</v>
      </c>
      <c r="E110" s="9">
        <v>46003</v>
      </c>
      <c r="F110" s="9">
        <v>46278</v>
      </c>
      <c r="G110">
        <v>120</v>
      </c>
      <c r="H110">
        <v>0</v>
      </c>
      <c r="I110" t="s">
        <v>302</v>
      </c>
      <c r="J110" t="s">
        <v>182</v>
      </c>
      <c r="K110" t="s">
        <v>183</v>
      </c>
      <c r="M110" t="b">
        <f>IF(Table7[[#This Row],[expiry_date]]-Table7[[#This Row],[manufacture_date]] &gt;=0, TRUE, FALSE)</f>
        <v>1</v>
      </c>
    </row>
    <row r="111" spans="1:13" x14ac:dyDescent="0.2">
      <c r="A111" t="s">
        <v>473</v>
      </c>
      <c r="B111" t="s">
        <v>8</v>
      </c>
      <c r="C111" t="s">
        <v>138</v>
      </c>
      <c r="D111" t="s">
        <v>474</v>
      </c>
      <c r="E111" s="9">
        <v>45746</v>
      </c>
      <c r="F111" s="9">
        <v>45783</v>
      </c>
      <c r="G111">
        <v>480</v>
      </c>
      <c r="H111">
        <v>0</v>
      </c>
      <c r="I111" t="s">
        <v>475</v>
      </c>
      <c r="J111" t="s">
        <v>182</v>
      </c>
      <c r="M111" t="b">
        <f>IF(Table7[[#This Row],[expiry_date]]-Table7[[#This Row],[manufacture_date]] &gt;=0, TRUE, FALSE)</f>
        <v>1</v>
      </c>
    </row>
    <row r="112" spans="1:13" hidden="1" x14ac:dyDescent="0.2">
      <c r="A112" t="s">
        <v>476</v>
      </c>
      <c r="B112" t="s">
        <v>110</v>
      </c>
      <c r="C112" t="s">
        <v>154</v>
      </c>
      <c r="D112" t="s">
        <v>477</v>
      </c>
      <c r="E112" s="9">
        <v>46055</v>
      </c>
      <c r="F112" s="9">
        <v>46433</v>
      </c>
      <c r="G112">
        <v>480</v>
      </c>
      <c r="H112">
        <v>42</v>
      </c>
      <c r="I112" t="s">
        <v>382</v>
      </c>
      <c r="K112" t="s">
        <v>183</v>
      </c>
      <c r="M112" t="b">
        <f>IF(Table7[[#This Row],[expiry_date]]-Table7[[#This Row],[manufacture_date]] &gt;=0, TRUE, FALSE)</f>
        <v>1</v>
      </c>
    </row>
    <row r="113" spans="1:13" hidden="1" x14ac:dyDescent="0.2">
      <c r="A113" t="s">
        <v>478</v>
      </c>
      <c r="B113" t="s">
        <v>33</v>
      </c>
      <c r="C113" t="s">
        <v>156</v>
      </c>
      <c r="D113" t="s">
        <v>479</v>
      </c>
      <c r="E113" s="9">
        <v>45900</v>
      </c>
      <c r="F113" s="9">
        <v>45988</v>
      </c>
      <c r="G113">
        <v>120</v>
      </c>
      <c r="H113">
        <v>0</v>
      </c>
      <c r="I113" t="s">
        <v>480</v>
      </c>
      <c r="J113" t="s">
        <v>182</v>
      </c>
      <c r="K113" t="s">
        <v>183</v>
      </c>
      <c r="M113" t="b">
        <f>IF(Table7[[#This Row],[expiry_date]]-Table7[[#This Row],[manufacture_date]] &gt;=0, TRUE, FALSE)</f>
        <v>1</v>
      </c>
    </row>
    <row r="114" spans="1:13" x14ac:dyDescent="0.2">
      <c r="A114" t="s">
        <v>481</v>
      </c>
      <c r="B114" t="s">
        <v>112</v>
      </c>
      <c r="C114" t="s">
        <v>138</v>
      </c>
      <c r="D114" t="s">
        <v>482</v>
      </c>
      <c r="E114" s="9">
        <v>45688</v>
      </c>
      <c r="F114" s="9">
        <v>45899</v>
      </c>
      <c r="G114">
        <v>240</v>
      </c>
      <c r="H114">
        <v>0</v>
      </c>
      <c r="I114" t="s">
        <v>281</v>
      </c>
      <c r="J114" t="s">
        <v>182</v>
      </c>
      <c r="K114" t="s">
        <v>187</v>
      </c>
      <c r="M114" t="b">
        <f>IF(Table7[[#This Row],[expiry_date]]-Table7[[#This Row],[manufacture_date]] &gt;=0, TRUE, FALSE)</f>
        <v>1</v>
      </c>
    </row>
    <row r="115" spans="1:13" hidden="1" x14ac:dyDescent="0.2">
      <c r="A115" t="s">
        <v>483</v>
      </c>
      <c r="B115" t="s">
        <v>127</v>
      </c>
      <c r="C115" t="s">
        <v>160</v>
      </c>
      <c r="E115" s="9">
        <v>46044</v>
      </c>
      <c r="F115" s="9">
        <v>46268</v>
      </c>
      <c r="G115">
        <v>240</v>
      </c>
      <c r="H115">
        <v>32</v>
      </c>
      <c r="I115" t="s">
        <v>219</v>
      </c>
      <c r="J115" t="s">
        <v>182</v>
      </c>
      <c r="M115" t="b">
        <f>IF(Table7[[#This Row],[expiry_date]]-Table7[[#This Row],[manufacture_date]] &gt;=0, TRUE, FALSE)</f>
        <v>1</v>
      </c>
    </row>
    <row r="116" spans="1:13" hidden="1" x14ac:dyDescent="0.2">
      <c r="A116" t="s">
        <v>484</v>
      </c>
      <c r="B116" t="s">
        <v>123</v>
      </c>
      <c r="C116" t="s">
        <v>162</v>
      </c>
      <c r="D116" t="s">
        <v>485</v>
      </c>
      <c r="E116" s="9">
        <v>46109</v>
      </c>
      <c r="F116" s="9">
        <v>46401</v>
      </c>
      <c r="G116">
        <v>480</v>
      </c>
      <c r="H116">
        <v>0</v>
      </c>
      <c r="I116" t="s">
        <v>391</v>
      </c>
      <c r="J116" t="s">
        <v>182</v>
      </c>
      <c r="K116" t="s">
        <v>187</v>
      </c>
      <c r="M116" t="b">
        <f>IF(Table7[[#This Row],[expiry_date]]-Table7[[#This Row],[manufacture_date]] &gt;=0, TRUE, FALSE)</f>
        <v>1</v>
      </c>
    </row>
    <row r="117" spans="1:13" hidden="1" x14ac:dyDescent="0.2">
      <c r="A117" t="s">
        <v>486</v>
      </c>
      <c r="B117" t="s">
        <v>58</v>
      </c>
      <c r="C117" t="s">
        <v>154</v>
      </c>
      <c r="E117" s="9">
        <v>45819</v>
      </c>
      <c r="F117" s="9">
        <v>46207</v>
      </c>
      <c r="G117">
        <v>120</v>
      </c>
      <c r="H117">
        <v>0</v>
      </c>
      <c r="I117" t="s">
        <v>487</v>
      </c>
      <c r="J117" t="s">
        <v>182</v>
      </c>
      <c r="K117" t="s">
        <v>187</v>
      </c>
      <c r="M117" t="b">
        <f>IF(Table7[[#This Row],[expiry_date]]-Table7[[#This Row],[manufacture_date]] &gt;=0, TRUE, FALSE)</f>
        <v>1</v>
      </c>
    </row>
    <row r="118" spans="1:13" x14ac:dyDescent="0.2">
      <c r="A118" t="s">
        <v>488</v>
      </c>
      <c r="B118" t="s">
        <v>19</v>
      </c>
      <c r="C118" t="s">
        <v>138</v>
      </c>
      <c r="D118" t="s">
        <v>489</v>
      </c>
      <c r="E118" s="9">
        <v>46217</v>
      </c>
      <c r="F118" s="9">
        <v>46290</v>
      </c>
      <c r="G118">
        <v>600</v>
      </c>
      <c r="H118">
        <v>600</v>
      </c>
      <c r="I118" t="s">
        <v>490</v>
      </c>
      <c r="K118" t="s">
        <v>183</v>
      </c>
      <c r="M118" t="b">
        <f>IF(Table7[[#This Row],[expiry_date]]-Table7[[#This Row],[manufacture_date]] &gt;=0, TRUE, FALSE)</f>
        <v>1</v>
      </c>
    </row>
    <row r="119" spans="1:13" hidden="1" x14ac:dyDescent="0.2">
      <c r="A119" t="s">
        <v>491</v>
      </c>
      <c r="B119" t="s">
        <v>125</v>
      </c>
      <c r="C119" t="s">
        <v>147</v>
      </c>
      <c r="D119" t="s">
        <v>492</v>
      </c>
      <c r="E119" s="9">
        <v>45920</v>
      </c>
      <c r="F119" s="9">
        <v>46248</v>
      </c>
      <c r="G119">
        <v>600</v>
      </c>
      <c r="H119">
        <v>0</v>
      </c>
      <c r="I119" t="s">
        <v>432</v>
      </c>
      <c r="J119" t="s">
        <v>149</v>
      </c>
      <c r="K119" t="s">
        <v>183</v>
      </c>
      <c r="M119" t="b">
        <f>IF(Table7[[#This Row],[expiry_date]]-Table7[[#This Row],[manufacture_date]] &gt;=0, TRUE, FALSE)</f>
        <v>1</v>
      </c>
    </row>
    <row r="120" spans="1:13" x14ac:dyDescent="0.2">
      <c r="A120" t="s">
        <v>493</v>
      </c>
      <c r="B120" t="s">
        <v>121</v>
      </c>
      <c r="C120" t="s">
        <v>138</v>
      </c>
      <c r="D120" t="s">
        <v>494</v>
      </c>
      <c r="E120" s="9">
        <v>45999</v>
      </c>
      <c r="F120" s="9">
        <v>46383</v>
      </c>
      <c r="G120">
        <v>240</v>
      </c>
      <c r="H120">
        <v>0</v>
      </c>
      <c r="I120" t="s">
        <v>205</v>
      </c>
      <c r="J120" t="s">
        <v>182</v>
      </c>
      <c r="K120" t="s">
        <v>183</v>
      </c>
      <c r="M120" t="b">
        <f>IF(Table7[[#This Row],[expiry_date]]-Table7[[#This Row],[manufacture_date]] &gt;=0, TRUE, FALSE)</f>
        <v>1</v>
      </c>
    </row>
    <row r="121" spans="1:13" hidden="1" x14ac:dyDescent="0.2">
      <c r="A121" t="s">
        <v>495</v>
      </c>
      <c r="B121" t="s">
        <v>71</v>
      </c>
      <c r="C121" t="s">
        <v>152</v>
      </c>
      <c r="D121" t="s">
        <v>496</v>
      </c>
      <c r="E121" s="9">
        <v>45923</v>
      </c>
      <c r="F121" s="9">
        <v>46320</v>
      </c>
      <c r="G121">
        <v>600</v>
      </c>
      <c r="H121">
        <v>0</v>
      </c>
      <c r="I121" t="s">
        <v>497</v>
      </c>
      <c r="J121" t="s">
        <v>182</v>
      </c>
      <c r="K121" t="s">
        <v>183</v>
      </c>
      <c r="M121" t="b">
        <f>IF(Table7[[#This Row],[expiry_date]]-Table7[[#This Row],[manufacture_date]] &gt;=0, TRUE, FALSE)</f>
        <v>1</v>
      </c>
    </row>
    <row r="122" spans="1:13" hidden="1" x14ac:dyDescent="0.2">
      <c r="A122" t="s">
        <v>498</v>
      </c>
      <c r="B122" t="s">
        <v>121</v>
      </c>
      <c r="C122" t="s">
        <v>158</v>
      </c>
      <c r="D122" t="s">
        <v>499</v>
      </c>
      <c r="E122" s="9">
        <v>45860</v>
      </c>
      <c r="F122" s="9">
        <v>46244</v>
      </c>
      <c r="G122">
        <v>600</v>
      </c>
      <c r="H122">
        <v>0</v>
      </c>
      <c r="I122" t="s">
        <v>214</v>
      </c>
      <c r="J122" t="s">
        <v>269</v>
      </c>
      <c r="K122" t="s">
        <v>183</v>
      </c>
      <c r="M122" t="b">
        <f>IF(Table7[[#This Row],[expiry_date]]-Table7[[#This Row],[manufacture_date]] &gt;=0, TRUE, FALSE)</f>
        <v>1</v>
      </c>
    </row>
    <row r="123" spans="1:13" hidden="1" x14ac:dyDescent="0.2">
      <c r="A123" t="s">
        <v>500</v>
      </c>
      <c r="B123" t="s">
        <v>118</v>
      </c>
      <c r="C123" t="s">
        <v>162</v>
      </c>
      <c r="D123" t="s">
        <v>501</v>
      </c>
      <c r="E123" s="9">
        <v>45952</v>
      </c>
      <c r="F123" s="9">
        <v>46231</v>
      </c>
      <c r="G123">
        <v>480</v>
      </c>
      <c r="H123">
        <v>0</v>
      </c>
      <c r="I123" t="s">
        <v>502</v>
      </c>
      <c r="K123" t="s">
        <v>183</v>
      </c>
      <c r="M123" t="b">
        <f>IF(Table7[[#This Row],[expiry_date]]-Table7[[#This Row],[manufacture_date]] &gt;=0, TRUE, FALSE)</f>
        <v>1</v>
      </c>
    </row>
    <row r="124" spans="1:13" hidden="1" x14ac:dyDescent="0.2">
      <c r="A124" t="s">
        <v>503</v>
      </c>
      <c r="B124" t="s">
        <v>116</v>
      </c>
      <c r="C124" t="s">
        <v>147</v>
      </c>
      <c r="D124" t="s">
        <v>504</v>
      </c>
      <c r="E124" s="9">
        <v>45855</v>
      </c>
      <c r="F124" s="9">
        <v>46032</v>
      </c>
      <c r="G124">
        <v>120</v>
      </c>
      <c r="H124">
        <v>0</v>
      </c>
      <c r="I124" t="s">
        <v>360</v>
      </c>
      <c r="J124" t="s">
        <v>182</v>
      </c>
      <c r="K124" t="s">
        <v>183</v>
      </c>
      <c r="M124" t="b">
        <f>IF(Table7[[#This Row],[expiry_date]]-Table7[[#This Row],[manufacture_date]] &gt;=0, TRUE, FALSE)</f>
        <v>1</v>
      </c>
    </row>
    <row r="125" spans="1:13" hidden="1" x14ac:dyDescent="0.2">
      <c r="A125" t="s">
        <v>505</v>
      </c>
      <c r="B125" t="s">
        <v>58</v>
      </c>
      <c r="C125" t="s">
        <v>154</v>
      </c>
      <c r="D125" t="s">
        <v>506</v>
      </c>
      <c r="E125" s="9">
        <v>45754</v>
      </c>
      <c r="F125" s="9"/>
      <c r="G125">
        <v>960</v>
      </c>
      <c r="H125">
        <v>0</v>
      </c>
      <c r="I125" t="s">
        <v>507</v>
      </c>
      <c r="J125" t="s">
        <v>269</v>
      </c>
      <c r="K125" t="s">
        <v>183</v>
      </c>
      <c r="M125" t="b">
        <f>IF(Table7[[#This Row],[expiry_date]]-Table7[[#This Row],[manufacture_date]] &gt;=0, TRUE, FALSE)</f>
        <v>0</v>
      </c>
    </row>
    <row r="126" spans="1:13" hidden="1" x14ac:dyDescent="0.2">
      <c r="A126" t="s">
        <v>508</v>
      </c>
      <c r="B126" t="s">
        <v>65</v>
      </c>
      <c r="C126" t="s">
        <v>168</v>
      </c>
      <c r="D126" t="s">
        <v>509</v>
      </c>
      <c r="E126" s="9">
        <v>45769</v>
      </c>
      <c r="F126" s="9">
        <v>46174</v>
      </c>
      <c r="G126">
        <v>120</v>
      </c>
      <c r="H126">
        <v>0</v>
      </c>
      <c r="I126" t="s">
        <v>510</v>
      </c>
      <c r="J126" t="s">
        <v>231</v>
      </c>
      <c r="K126" t="s">
        <v>183</v>
      </c>
      <c r="M126" t="b">
        <f>IF(Table7[[#This Row],[expiry_date]]-Table7[[#This Row],[manufacture_date]] &gt;=0, TRUE, FALSE)</f>
        <v>1</v>
      </c>
    </row>
    <row r="127" spans="1:13" hidden="1" x14ac:dyDescent="0.2">
      <c r="A127" t="s">
        <v>511</v>
      </c>
      <c r="B127" t="s">
        <v>44</v>
      </c>
      <c r="C127" t="s">
        <v>147</v>
      </c>
      <c r="D127" t="s">
        <v>512</v>
      </c>
      <c r="E127" s="9">
        <v>46079</v>
      </c>
      <c r="F127" s="9">
        <v>46466</v>
      </c>
      <c r="G127">
        <v>120</v>
      </c>
      <c r="H127">
        <v>0</v>
      </c>
      <c r="I127" t="s">
        <v>513</v>
      </c>
      <c r="J127" t="s">
        <v>182</v>
      </c>
      <c r="K127" t="s">
        <v>183</v>
      </c>
      <c r="M127" t="b">
        <f>IF(Table7[[#This Row],[expiry_date]]-Table7[[#This Row],[manufacture_date]] &gt;=0, TRUE, FALSE)</f>
        <v>1</v>
      </c>
    </row>
    <row r="128" spans="1:13" x14ac:dyDescent="0.2">
      <c r="A128" t="s">
        <v>514</v>
      </c>
      <c r="B128" t="s">
        <v>28</v>
      </c>
      <c r="C128" t="s">
        <v>138</v>
      </c>
      <c r="D128" t="s">
        <v>515</v>
      </c>
      <c r="E128" s="9">
        <v>45749</v>
      </c>
      <c r="F128" s="9">
        <v>45805</v>
      </c>
      <c r="G128">
        <v>600</v>
      </c>
      <c r="H128">
        <v>0</v>
      </c>
      <c r="I128" t="s">
        <v>240</v>
      </c>
      <c r="J128" t="s">
        <v>182</v>
      </c>
      <c r="K128" t="s">
        <v>183</v>
      </c>
      <c r="M128" t="b">
        <f>IF(Table7[[#This Row],[expiry_date]]-Table7[[#This Row],[manufacture_date]] &gt;=0, TRUE, FALSE)</f>
        <v>1</v>
      </c>
    </row>
    <row r="129" spans="1:13" hidden="1" x14ac:dyDescent="0.2">
      <c r="A129" t="s">
        <v>516</v>
      </c>
      <c r="B129" t="s">
        <v>71</v>
      </c>
      <c r="C129" t="s">
        <v>145</v>
      </c>
      <c r="D129" t="s">
        <v>517</v>
      </c>
      <c r="E129" s="9">
        <v>45938</v>
      </c>
      <c r="F129" s="9">
        <v>46283</v>
      </c>
      <c r="G129">
        <v>240</v>
      </c>
      <c r="H129">
        <v>0</v>
      </c>
      <c r="I129" t="s">
        <v>518</v>
      </c>
      <c r="J129" t="s">
        <v>231</v>
      </c>
      <c r="K129" t="s">
        <v>183</v>
      </c>
      <c r="M129" t="b">
        <f>IF(Table7[[#This Row],[expiry_date]]-Table7[[#This Row],[manufacture_date]] &gt;=0, TRUE, FALSE)</f>
        <v>1</v>
      </c>
    </row>
    <row r="130" spans="1:13" hidden="1" x14ac:dyDescent="0.2">
      <c r="A130" t="s">
        <v>519</v>
      </c>
      <c r="B130" t="s">
        <v>125</v>
      </c>
      <c r="C130" t="s">
        <v>158</v>
      </c>
      <c r="D130" t="s">
        <v>520</v>
      </c>
      <c r="E130" s="9">
        <v>46048</v>
      </c>
      <c r="F130" s="9">
        <v>46220</v>
      </c>
      <c r="G130">
        <v>240</v>
      </c>
      <c r="H130">
        <v>4</v>
      </c>
      <c r="I130" t="s">
        <v>521</v>
      </c>
      <c r="J130" t="s">
        <v>182</v>
      </c>
      <c r="K130" t="s">
        <v>183</v>
      </c>
      <c r="M130" t="b">
        <f>IF(Table7[[#This Row],[expiry_date]]-Table7[[#This Row],[manufacture_date]] &gt;=0, TRUE, FALSE)</f>
        <v>1</v>
      </c>
    </row>
    <row r="131" spans="1:13" x14ac:dyDescent="0.2">
      <c r="A131" t="s">
        <v>522</v>
      </c>
      <c r="B131" t="s">
        <v>25</v>
      </c>
      <c r="C131" t="s">
        <v>138</v>
      </c>
      <c r="D131" t="s">
        <v>523</v>
      </c>
      <c r="E131" s="9">
        <v>45920</v>
      </c>
      <c r="F131" s="9">
        <v>45991</v>
      </c>
      <c r="G131">
        <v>600</v>
      </c>
      <c r="H131">
        <v>0</v>
      </c>
      <c r="I131" t="s">
        <v>524</v>
      </c>
      <c r="J131" t="s">
        <v>182</v>
      </c>
      <c r="K131" t="s">
        <v>183</v>
      </c>
      <c r="M131" t="b">
        <f>IF(Table7[[#This Row],[expiry_date]]-Table7[[#This Row],[manufacture_date]] &gt;=0, TRUE, FALSE)</f>
        <v>1</v>
      </c>
    </row>
    <row r="132" spans="1:13" hidden="1" x14ac:dyDescent="0.2">
      <c r="A132" t="s">
        <v>525</v>
      </c>
      <c r="B132" t="s">
        <v>50</v>
      </c>
      <c r="C132" t="s">
        <v>145</v>
      </c>
      <c r="D132" t="s">
        <v>526</v>
      </c>
      <c r="E132" s="9">
        <v>46179</v>
      </c>
      <c r="F132" s="9">
        <v>46481</v>
      </c>
      <c r="G132">
        <v>600</v>
      </c>
      <c r="H132">
        <v>339</v>
      </c>
      <c r="I132" t="s">
        <v>186</v>
      </c>
      <c r="J132" t="s">
        <v>182</v>
      </c>
      <c r="K132" t="s">
        <v>187</v>
      </c>
      <c r="M132" t="b">
        <f>IF(Table7[[#This Row],[expiry_date]]-Table7[[#This Row],[manufacture_date]] &gt;=0, TRUE, FALSE)</f>
        <v>1</v>
      </c>
    </row>
    <row r="133" spans="1:13" hidden="1" x14ac:dyDescent="0.2">
      <c r="A133" t="s">
        <v>527</v>
      </c>
      <c r="B133" t="s">
        <v>110</v>
      </c>
      <c r="C133" t="s">
        <v>147</v>
      </c>
      <c r="D133" t="s">
        <v>528</v>
      </c>
      <c r="E133" s="9">
        <v>45811</v>
      </c>
      <c r="F133" s="9">
        <v>46037</v>
      </c>
      <c r="G133">
        <v>360</v>
      </c>
      <c r="H133">
        <v>0</v>
      </c>
      <c r="I133" t="s">
        <v>193</v>
      </c>
      <c r="J133" t="s">
        <v>182</v>
      </c>
      <c r="K133" t="s">
        <v>183</v>
      </c>
      <c r="M133" t="b">
        <f>IF(Table7[[#This Row],[expiry_date]]-Table7[[#This Row],[manufacture_date]] &gt;=0, TRUE, FALSE)</f>
        <v>1</v>
      </c>
    </row>
    <row r="134" spans="1:13" hidden="1" x14ac:dyDescent="0.2">
      <c r="A134" t="s">
        <v>529</v>
      </c>
      <c r="B134" t="s">
        <v>54</v>
      </c>
      <c r="C134" t="s">
        <v>158</v>
      </c>
      <c r="D134" t="s">
        <v>530</v>
      </c>
      <c r="E134" s="9">
        <v>46074</v>
      </c>
      <c r="F134" s="9">
        <v>46317</v>
      </c>
      <c r="G134">
        <v>120</v>
      </c>
      <c r="H134">
        <v>26</v>
      </c>
      <c r="I134" t="s">
        <v>531</v>
      </c>
      <c r="J134" t="s">
        <v>182</v>
      </c>
      <c r="K134" t="s">
        <v>187</v>
      </c>
      <c r="M134" t="b">
        <f>IF(Table7[[#This Row],[expiry_date]]-Table7[[#This Row],[manufacture_date]] &gt;=0, TRUE, FALSE)</f>
        <v>1</v>
      </c>
    </row>
    <row r="135" spans="1:13" x14ac:dyDescent="0.2">
      <c r="A135" t="s">
        <v>532</v>
      </c>
      <c r="B135" t="s">
        <v>22</v>
      </c>
      <c r="C135" t="s">
        <v>138</v>
      </c>
      <c r="D135" t="s">
        <v>533</v>
      </c>
      <c r="E135" s="9">
        <v>46090</v>
      </c>
      <c r="F135" s="9">
        <v>46168</v>
      </c>
      <c r="G135">
        <v>480</v>
      </c>
      <c r="H135">
        <v>0</v>
      </c>
      <c r="I135" t="s">
        <v>534</v>
      </c>
      <c r="J135" t="s">
        <v>182</v>
      </c>
      <c r="K135" t="s">
        <v>194</v>
      </c>
      <c r="M135" t="b">
        <f>IF(Table7[[#This Row],[expiry_date]]-Table7[[#This Row],[manufacture_date]] &gt;=0, TRUE, FALSE)</f>
        <v>1</v>
      </c>
    </row>
    <row r="136" spans="1:13" hidden="1" x14ac:dyDescent="0.2">
      <c r="A136" t="s">
        <v>535</v>
      </c>
      <c r="B136" t="s">
        <v>116</v>
      </c>
      <c r="C136" t="s">
        <v>158</v>
      </c>
      <c r="D136" t="s">
        <v>536</v>
      </c>
      <c r="E136" s="9">
        <v>45709</v>
      </c>
      <c r="F136" s="9">
        <v>46061</v>
      </c>
      <c r="G136">
        <v>360</v>
      </c>
      <c r="H136">
        <v>0</v>
      </c>
      <c r="I136" t="s">
        <v>513</v>
      </c>
      <c r="K136" t="s">
        <v>183</v>
      </c>
      <c r="M136" t="b">
        <f>IF(Table7[[#This Row],[expiry_date]]-Table7[[#This Row],[manufacture_date]] &gt;=0, TRUE, FALSE)</f>
        <v>1</v>
      </c>
    </row>
    <row r="137" spans="1:13" hidden="1" x14ac:dyDescent="0.2">
      <c r="A137" t="s">
        <v>537</v>
      </c>
      <c r="B137" t="s">
        <v>74</v>
      </c>
      <c r="C137" t="s">
        <v>150</v>
      </c>
      <c r="D137" t="s">
        <v>538</v>
      </c>
      <c r="E137" s="9">
        <v>46011</v>
      </c>
      <c r="F137" s="9">
        <v>46408</v>
      </c>
      <c r="G137">
        <v>480</v>
      </c>
      <c r="H137">
        <v>0</v>
      </c>
      <c r="I137" t="s">
        <v>539</v>
      </c>
      <c r="J137" t="s">
        <v>182</v>
      </c>
      <c r="K137" t="s">
        <v>183</v>
      </c>
      <c r="M137" t="b">
        <f>IF(Table7[[#This Row],[expiry_date]]-Table7[[#This Row],[manufacture_date]] &gt;=0, TRUE, FALSE)</f>
        <v>1</v>
      </c>
    </row>
    <row r="138" spans="1:13" hidden="1" x14ac:dyDescent="0.2">
      <c r="A138" t="s">
        <v>540</v>
      </c>
      <c r="B138" t="s">
        <v>116</v>
      </c>
      <c r="C138" t="s">
        <v>142</v>
      </c>
      <c r="D138" t="s">
        <v>541</v>
      </c>
      <c r="E138" s="9">
        <v>46025</v>
      </c>
      <c r="F138" s="9">
        <v>46181</v>
      </c>
      <c r="G138">
        <v>480</v>
      </c>
      <c r="H138">
        <v>0</v>
      </c>
      <c r="I138" t="s">
        <v>542</v>
      </c>
      <c r="J138" t="s">
        <v>182</v>
      </c>
      <c r="K138" t="s">
        <v>183</v>
      </c>
      <c r="M138" t="b">
        <f>IF(Table7[[#This Row],[expiry_date]]-Table7[[#This Row],[manufacture_date]] &gt;=0, TRUE, FALSE)</f>
        <v>1</v>
      </c>
    </row>
    <row r="139" spans="1:13" hidden="1" x14ac:dyDescent="0.2">
      <c r="A139" t="s">
        <v>543</v>
      </c>
      <c r="B139" t="s">
        <v>116</v>
      </c>
      <c r="C139" t="s">
        <v>152</v>
      </c>
      <c r="D139" t="s">
        <v>544</v>
      </c>
      <c r="E139" s="9">
        <v>45740</v>
      </c>
      <c r="F139" s="9">
        <v>45966</v>
      </c>
      <c r="G139">
        <v>120</v>
      </c>
      <c r="H139">
        <v>0</v>
      </c>
      <c r="I139" t="s">
        <v>260</v>
      </c>
      <c r="J139" t="s">
        <v>182</v>
      </c>
      <c r="M139" t="b">
        <f>IF(Table7[[#This Row],[expiry_date]]-Table7[[#This Row],[manufacture_date]] &gt;=0, TRUE, FALSE)</f>
        <v>1</v>
      </c>
    </row>
    <row r="140" spans="1:13" hidden="1" x14ac:dyDescent="0.2">
      <c r="A140" t="s">
        <v>545</v>
      </c>
      <c r="B140" t="s">
        <v>48</v>
      </c>
      <c r="C140" t="s">
        <v>138</v>
      </c>
      <c r="E140" s="9">
        <v>45860</v>
      </c>
      <c r="F140" s="9"/>
      <c r="G140">
        <v>960</v>
      </c>
      <c r="H140">
        <v>0</v>
      </c>
      <c r="I140" t="s">
        <v>260</v>
      </c>
      <c r="J140" t="s">
        <v>182</v>
      </c>
      <c r="K140" t="s">
        <v>187</v>
      </c>
      <c r="M140" t="b">
        <f>IF(Table7[[#This Row],[expiry_date]]-Table7[[#This Row],[manufacture_date]] &gt;=0, TRUE, FALSE)</f>
        <v>0</v>
      </c>
    </row>
    <row r="141" spans="1:13" x14ac:dyDescent="0.2">
      <c r="A141" t="s">
        <v>546</v>
      </c>
      <c r="B141" t="s">
        <v>22</v>
      </c>
      <c r="C141" t="s">
        <v>138</v>
      </c>
      <c r="D141" t="s">
        <v>547</v>
      </c>
      <c r="E141" s="9">
        <v>45863</v>
      </c>
      <c r="F141" s="9">
        <v>45921</v>
      </c>
      <c r="G141">
        <v>360</v>
      </c>
      <c r="H141">
        <v>0</v>
      </c>
      <c r="I141" t="s">
        <v>548</v>
      </c>
      <c r="J141" t="s">
        <v>182</v>
      </c>
      <c r="K141" t="s">
        <v>183</v>
      </c>
      <c r="M141" t="b">
        <f>IF(Table7[[#This Row],[expiry_date]]-Table7[[#This Row],[manufacture_date]] &gt;=0, TRUE, FALSE)</f>
        <v>1</v>
      </c>
    </row>
    <row r="142" spans="1:13" hidden="1" x14ac:dyDescent="0.2">
      <c r="A142" t="s">
        <v>549</v>
      </c>
      <c r="B142" t="s">
        <v>40</v>
      </c>
      <c r="C142" t="s">
        <v>152</v>
      </c>
      <c r="D142" t="s">
        <v>550</v>
      </c>
      <c r="E142" s="9">
        <v>45976</v>
      </c>
      <c r="F142" s="9">
        <v>46050</v>
      </c>
      <c r="G142">
        <v>600</v>
      </c>
      <c r="H142">
        <v>0</v>
      </c>
      <c r="I142" t="s">
        <v>534</v>
      </c>
      <c r="J142" t="s">
        <v>182</v>
      </c>
      <c r="K142" t="s">
        <v>183</v>
      </c>
      <c r="M142" t="b">
        <f>IF(Table7[[#This Row],[expiry_date]]-Table7[[#This Row],[manufacture_date]] &gt;=0, TRUE, FALSE)</f>
        <v>1</v>
      </c>
    </row>
    <row r="143" spans="1:13" hidden="1" x14ac:dyDescent="0.2">
      <c r="A143" t="s">
        <v>551</v>
      </c>
      <c r="B143" t="s">
        <v>40</v>
      </c>
      <c r="C143" t="s">
        <v>145</v>
      </c>
      <c r="D143" t="s">
        <v>552</v>
      </c>
      <c r="E143" s="9">
        <v>45849</v>
      </c>
      <c r="F143" s="9">
        <v>45919</v>
      </c>
      <c r="G143">
        <v>240</v>
      </c>
      <c r="H143">
        <v>0</v>
      </c>
      <c r="I143" t="s">
        <v>475</v>
      </c>
      <c r="J143" t="s">
        <v>182</v>
      </c>
      <c r="M143" t="b">
        <f>IF(Table7[[#This Row],[expiry_date]]-Table7[[#This Row],[manufacture_date]] &gt;=0, TRUE, FALSE)</f>
        <v>1</v>
      </c>
    </row>
    <row r="144" spans="1:13" hidden="1" x14ac:dyDescent="0.2">
      <c r="A144" t="s">
        <v>553</v>
      </c>
      <c r="B144" t="s">
        <v>90</v>
      </c>
      <c r="C144" t="s">
        <v>156</v>
      </c>
      <c r="D144" t="s">
        <v>554</v>
      </c>
      <c r="E144" s="9">
        <v>46090</v>
      </c>
      <c r="F144" s="9">
        <v>46415</v>
      </c>
      <c r="G144">
        <v>480</v>
      </c>
      <c r="H144">
        <v>115</v>
      </c>
      <c r="I144" t="s">
        <v>323</v>
      </c>
      <c r="J144" t="s">
        <v>182</v>
      </c>
      <c r="K144" t="s">
        <v>183</v>
      </c>
      <c r="M144" t="b">
        <f>IF(Table7[[#This Row],[expiry_date]]-Table7[[#This Row],[manufacture_date]] &gt;=0, TRUE, FALSE)</f>
        <v>1</v>
      </c>
    </row>
    <row r="145" spans="1:13" hidden="1" x14ac:dyDescent="0.2">
      <c r="A145" t="s">
        <v>555</v>
      </c>
      <c r="B145" t="s">
        <v>84</v>
      </c>
      <c r="C145" t="s">
        <v>150</v>
      </c>
      <c r="D145" t="s">
        <v>556</v>
      </c>
      <c r="E145" s="9">
        <v>46179</v>
      </c>
      <c r="F145" s="9">
        <v>46469</v>
      </c>
      <c r="G145">
        <v>600</v>
      </c>
      <c r="H145">
        <v>320</v>
      </c>
      <c r="I145" t="s">
        <v>557</v>
      </c>
      <c r="J145" t="s">
        <v>182</v>
      </c>
      <c r="K145" t="s">
        <v>183</v>
      </c>
      <c r="M145" t="b">
        <f>IF(Table7[[#This Row],[expiry_date]]-Table7[[#This Row],[manufacture_date]] &gt;=0, TRUE, FALSE)</f>
        <v>1</v>
      </c>
    </row>
    <row r="146" spans="1:13" hidden="1" x14ac:dyDescent="0.2">
      <c r="A146" t="s">
        <v>558</v>
      </c>
      <c r="B146" t="s">
        <v>50</v>
      </c>
      <c r="C146" t="s">
        <v>142</v>
      </c>
      <c r="D146" t="s">
        <v>350</v>
      </c>
      <c r="E146" s="9">
        <v>45943</v>
      </c>
      <c r="F146" s="9">
        <v>46208</v>
      </c>
      <c r="G146">
        <v>360</v>
      </c>
      <c r="H146">
        <v>0</v>
      </c>
      <c r="I146" t="s">
        <v>302</v>
      </c>
      <c r="J146" t="s">
        <v>182</v>
      </c>
      <c r="K146" t="s">
        <v>183</v>
      </c>
      <c r="M146" t="b">
        <f>IF(Table7[[#This Row],[expiry_date]]-Table7[[#This Row],[manufacture_date]] &gt;=0, TRUE, FALSE)</f>
        <v>1</v>
      </c>
    </row>
    <row r="147" spans="1:13" hidden="1" x14ac:dyDescent="0.2">
      <c r="A147" t="s">
        <v>559</v>
      </c>
      <c r="B147" t="s">
        <v>105</v>
      </c>
      <c r="C147" t="s">
        <v>158</v>
      </c>
      <c r="D147" t="s">
        <v>560</v>
      </c>
      <c r="E147" s="9">
        <v>45872</v>
      </c>
      <c r="F147" s="9">
        <v>46230</v>
      </c>
      <c r="G147">
        <v>240</v>
      </c>
      <c r="H147">
        <v>0</v>
      </c>
      <c r="I147" t="s">
        <v>315</v>
      </c>
      <c r="K147" t="s">
        <v>183</v>
      </c>
      <c r="M147" t="b">
        <f>IF(Table7[[#This Row],[expiry_date]]-Table7[[#This Row],[manufacture_date]] &gt;=0, TRUE, FALSE)</f>
        <v>1</v>
      </c>
    </row>
    <row r="148" spans="1:13" hidden="1" x14ac:dyDescent="0.2">
      <c r="A148" t="s">
        <v>561</v>
      </c>
      <c r="B148" t="s">
        <v>28</v>
      </c>
      <c r="C148" t="s">
        <v>145</v>
      </c>
      <c r="D148" t="s">
        <v>562</v>
      </c>
      <c r="E148" s="9">
        <v>46215</v>
      </c>
      <c r="F148" s="9">
        <v>46300</v>
      </c>
      <c r="G148">
        <v>480</v>
      </c>
      <c r="H148">
        <v>480</v>
      </c>
      <c r="I148" t="s">
        <v>563</v>
      </c>
      <c r="J148" t="s">
        <v>182</v>
      </c>
      <c r="K148" t="s">
        <v>183</v>
      </c>
      <c r="M148" t="b">
        <f>IF(Table7[[#This Row],[expiry_date]]-Table7[[#This Row],[manufacture_date]] &gt;=0, TRUE, FALSE)</f>
        <v>1</v>
      </c>
    </row>
    <row r="149" spans="1:13" hidden="1" x14ac:dyDescent="0.2">
      <c r="A149" t="s">
        <v>564</v>
      </c>
      <c r="B149" t="s">
        <v>108</v>
      </c>
      <c r="C149" t="s">
        <v>164</v>
      </c>
      <c r="D149" t="s">
        <v>565</v>
      </c>
      <c r="E149" s="9">
        <v>46134</v>
      </c>
      <c r="F149" s="9">
        <v>46303</v>
      </c>
      <c r="G149">
        <v>960</v>
      </c>
      <c r="H149">
        <v>27</v>
      </c>
      <c r="I149" t="s">
        <v>445</v>
      </c>
      <c r="J149" t="s">
        <v>182</v>
      </c>
      <c r="M149" t="b">
        <f>IF(Table7[[#This Row],[expiry_date]]-Table7[[#This Row],[manufacture_date]] &gt;=0, TRUE, FALSE)</f>
        <v>1</v>
      </c>
    </row>
    <row r="150" spans="1:13" hidden="1" x14ac:dyDescent="0.2">
      <c r="A150" t="s">
        <v>566</v>
      </c>
      <c r="B150" t="s">
        <v>108</v>
      </c>
      <c r="C150" t="s">
        <v>154</v>
      </c>
      <c r="D150" t="s">
        <v>567</v>
      </c>
      <c r="E150" s="9">
        <v>46038</v>
      </c>
      <c r="F150" s="9">
        <v>46405</v>
      </c>
      <c r="G150">
        <v>120</v>
      </c>
      <c r="H150">
        <v>9</v>
      </c>
      <c r="I150" t="s">
        <v>542</v>
      </c>
      <c r="J150" t="s">
        <v>149</v>
      </c>
      <c r="K150" t="s">
        <v>187</v>
      </c>
      <c r="M150" t="b">
        <f>IF(Table7[[#This Row],[expiry_date]]-Table7[[#This Row],[manufacture_date]] &gt;=0, TRUE, FALSE)</f>
        <v>1</v>
      </c>
    </row>
    <row r="151" spans="1:13" hidden="1" x14ac:dyDescent="0.2">
      <c r="A151" t="s">
        <v>568</v>
      </c>
      <c r="B151" t="s">
        <v>17</v>
      </c>
      <c r="C151" t="s">
        <v>156</v>
      </c>
      <c r="D151" t="s">
        <v>569</v>
      </c>
      <c r="E151" s="9">
        <v>46216</v>
      </c>
      <c r="F151" s="9">
        <v>46304</v>
      </c>
      <c r="G151">
        <v>480</v>
      </c>
      <c r="H151">
        <v>327</v>
      </c>
      <c r="I151" t="s">
        <v>419</v>
      </c>
      <c r="J151" t="s">
        <v>149</v>
      </c>
      <c r="K151" t="s">
        <v>194</v>
      </c>
      <c r="M151" t="b">
        <f>IF(Table7[[#This Row],[expiry_date]]-Table7[[#This Row],[manufacture_date]] &gt;=0, TRUE, FALSE)</f>
        <v>1</v>
      </c>
    </row>
    <row r="152" spans="1:13" x14ac:dyDescent="0.2">
      <c r="A152" t="s">
        <v>570</v>
      </c>
      <c r="B152" t="s">
        <v>25</v>
      </c>
      <c r="C152" t="s">
        <v>138</v>
      </c>
      <c r="D152" t="s">
        <v>571</v>
      </c>
      <c r="E152" s="9">
        <v>45928</v>
      </c>
      <c r="F152" s="9">
        <v>45968</v>
      </c>
      <c r="G152">
        <v>360</v>
      </c>
      <c r="H152">
        <v>0</v>
      </c>
      <c r="I152" t="s">
        <v>572</v>
      </c>
      <c r="J152" t="s">
        <v>182</v>
      </c>
      <c r="K152" t="s">
        <v>183</v>
      </c>
      <c r="M152" t="b">
        <f>IF(Table7[[#This Row],[expiry_date]]-Table7[[#This Row],[manufacture_date]] &gt;=0, TRUE, FALSE)</f>
        <v>1</v>
      </c>
    </row>
    <row r="153" spans="1:13" hidden="1" x14ac:dyDescent="0.2">
      <c r="A153" t="s">
        <v>573</v>
      </c>
      <c r="B153" t="s">
        <v>101</v>
      </c>
      <c r="C153" t="s">
        <v>168</v>
      </c>
      <c r="D153" t="s">
        <v>574</v>
      </c>
      <c r="E153" s="9">
        <v>46028</v>
      </c>
      <c r="F153" s="9">
        <v>46291</v>
      </c>
      <c r="G153">
        <v>120</v>
      </c>
      <c r="H153">
        <v>0</v>
      </c>
      <c r="I153" t="s">
        <v>575</v>
      </c>
      <c r="J153" t="s">
        <v>182</v>
      </c>
      <c r="K153" t="s">
        <v>183</v>
      </c>
      <c r="M153" t="b">
        <f>IF(Table7[[#This Row],[expiry_date]]-Table7[[#This Row],[manufacture_date]] &gt;=0, TRUE, FALSE)</f>
        <v>1</v>
      </c>
    </row>
    <row r="154" spans="1:13" hidden="1" x14ac:dyDescent="0.2">
      <c r="A154" t="s">
        <v>576</v>
      </c>
      <c r="B154" t="s">
        <v>69</v>
      </c>
      <c r="C154" t="s">
        <v>145</v>
      </c>
      <c r="D154" t="s">
        <v>577</v>
      </c>
      <c r="E154" s="9">
        <v>45812</v>
      </c>
      <c r="F154" s="9">
        <v>46179</v>
      </c>
      <c r="G154">
        <v>240</v>
      </c>
      <c r="H154">
        <v>0</v>
      </c>
      <c r="I154" t="s">
        <v>578</v>
      </c>
      <c r="J154" t="s">
        <v>182</v>
      </c>
      <c r="K154" t="s">
        <v>194</v>
      </c>
      <c r="M154" t="b">
        <f>IF(Table7[[#This Row],[expiry_date]]-Table7[[#This Row],[manufacture_date]] &gt;=0, TRUE, FALSE)</f>
        <v>1</v>
      </c>
    </row>
    <row r="155" spans="1:13" hidden="1" x14ac:dyDescent="0.2">
      <c r="A155" t="s">
        <v>579</v>
      </c>
      <c r="B155" t="s">
        <v>105</v>
      </c>
      <c r="C155" t="s">
        <v>160</v>
      </c>
      <c r="D155" t="s">
        <v>580</v>
      </c>
      <c r="E155" s="9">
        <v>45894</v>
      </c>
      <c r="F155" s="9">
        <v>46066</v>
      </c>
      <c r="G155">
        <v>120</v>
      </c>
      <c r="H155">
        <v>0</v>
      </c>
      <c r="I155" t="s">
        <v>425</v>
      </c>
      <c r="J155" t="s">
        <v>182</v>
      </c>
      <c r="K155" t="s">
        <v>183</v>
      </c>
      <c r="M155" t="b">
        <f>IF(Table7[[#This Row],[expiry_date]]-Table7[[#This Row],[manufacture_date]] &gt;=0, TRUE, FALSE)</f>
        <v>1</v>
      </c>
    </row>
    <row r="156" spans="1:13" hidden="1" x14ac:dyDescent="0.2">
      <c r="A156" t="s">
        <v>581</v>
      </c>
      <c r="B156" t="s">
        <v>103</v>
      </c>
      <c r="C156" t="s">
        <v>160</v>
      </c>
      <c r="D156" t="s">
        <v>582</v>
      </c>
      <c r="E156" s="9">
        <v>46136</v>
      </c>
      <c r="F156" s="9">
        <v>46292</v>
      </c>
      <c r="G156">
        <v>960</v>
      </c>
      <c r="H156">
        <v>290</v>
      </c>
      <c r="I156" t="s">
        <v>275</v>
      </c>
      <c r="J156" t="s">
        <v>182</v>
      </c>
      <c r="K156" t="s">
        <v>183</v>
      </c>
      <c r="M156" t="b">
        <f>IF(Table7[[#This Row],[expiry_date]]-Table7[[#This Row],[manufacture_date]] &gt;=0, TRUE, FALSE)</f>
        <v>1</v>
      </c>
    </row>
    <row r="157" spans="1:13" hidden="1" x14ac:dyDescent="0.2">
      <c r="A157" t="s">
        <v>583</v>
      </c>
      <c r="B157" t="s">
        <v>103</v>
      </c>
      <c r="C157" t="s">
        <v>168</v>
      </c>
      <c r="D157" t="s">
        <v>584</v>
      </c>
      <c r="E157" s="9">
        <v>45963</v>
      </c>
      <c r="F157" s="9">
        <v>46205</v>
      </c>
      <c r="G157">
        <v>360</v>
      </c>
      <c r="H157">
        <v>0</v>
      </c>
      <c r="I157" t="s">
        <v>454</v>
      </c>
      <c r="J157" t="s">
        <v>182</v>
      </c>
      <c r="K157" t="s">
        <v>183</v>
      </c>
      <c r="M157" t="b">
        <f>IF(Table7[[#This Row],[expiry_date]]-Table7[[#This Row],[manufacture_date]] &gt;=0, TRUE, FALSE)</f>
        <v>1</v>
      </c>
    </row>
    <row r="158" spans="1:13" hidden="1" x14ac:dyDescent="0.2">
      <c r="A158" t="s">
        <v>585</v>
      </c>
      <c r="B158" t="s">
        <v>17</v>
      </c>
      <c r="C158" t="s">
        <v>154</v>
      </c>
      <c r="D158" t="s">
        <v>586</v>
      </c>
      <c r="E158" s="9">
        <v>46079</v>
      </c>
      <c r="F158" s="9">
        <v>46146</v>
      </c>
      <c r="G158">
        <v>360</v>
      </c>
      <c r="H158">
        <v>133</v>
      </c>
      <c r="I158" t="s">
        <v>371</v>
      </c>
      <c r="J158" t="s">
        <v>231</v>
      </c>
      <c r="M158" t="b">
        <f>IF(Table7[[#This Row],[expiry_date]]-Table7[[#This Row],[manufacture_date]] &gt;=0, TRUE, FALSE)</f>
        <v>1</v>
      </c>
    </row>
    <row r="159" spans="1:13" hidden="1" x14ac:dyDescent="0.2">
      <c r="A159" t="s">
        <v>587</v>
      </c>
      <c r="B159" t="s">
        <v>36</v>
      </c>
      <c r="C159" t="s">
        <v>142</v>
      </c>
      <c r="D159" t="s">
        <v>588</v>
      </c>
      <c r="E159" s="9">
        <v>46072</v>
      </c>
      <c r="F159" s="9">
        <v>46144</v>
      </c>
      <c r="G159">
        <v>960</v>
      </c>
      <c r="H159">
        <v>335</v>
      </c>
      <c r="I159" t="s">
        <v>589</v>
      </c>
      <c r="J159" t="s">
        <v>182</v>
      </c>
      <c r="K159" t="s">
        <v>183</v>
      </c>
      <c r="M159" t="b">
        <f>IF(Table7[[#This Row],[expiry_date]]-Table7[[#This Row],[manufacture_date]] &gt;=0, TRUE, FALSE)</f>
        <v>1</v>
      </c>
    </row>
    <row r="160" spans="1:13" hidden="1" x14ac:dyDescent="0.2">
      <c r="A160" t="s">
        <v>590</v>
      </c>
      <c r="B160" t="s">
        <v>58</v>
      </c>
      <c r="C160" t="s">
        <v>145</v>
      </c>
      <c r="D160" t="s">
        <v>591</v>
      </c>
      <c r="E160" s="9">
        <v>45851</v>
      </c>
      <c r="F160" s="9">
        <v>46151</v>
      </c>
      <c r="G160">
        <v>120</v>
      </c>
      <c r="H160">
        <v>0</v>
      </c>
      <c r="I160" t="s">
        <v>592</v>
      </c>
      <c r="J160" t="s">
        <v>182</v>
      </c>
      <c r="K160" t="s">
        <v>194</v>
      </c>
      <c r="M160" t="b">
        <f>IF(Table7[[#This Row],[expiry_date]]-Table7[[#This Row],[manufacture_date]] &gt;=0, TRUE, FALSE)</f>
        <v>1</v>
      </c>
    </row>
    <row r="161" spans="1:13" hidden="1" x14ac:dyDescent="0.2">
      <c r="A161" t="s">
        <v>593</v>
      </c>
      <c r="B161" t="s">
        <v>121</v>
      </c>
      <c r="C161" t="s">
        <v>150</v>
      </c>
      <c r="D161" t="s">
        <v>594</v>
      </c>
      <c r="E161" s="9">
        <v>45702</v>
      </c>
      <c r="F161" s="9">
        <v>45937</v>
      </c>
      <c r="G161">
        <v>480</v>
      </c>
      <c r="H161">
        <v>0</v>
      </c>
      <c r="I161" t="s">
        <v>323</v>
      </c>
      <c r="J161" t="s">
        <v>182</v>
      </c>
      <c r="K161" t="s">
        <v>183</v>
      </c>
      <c r="M161" t="b">
        <f>IF(Table7[[#This Row],[expiry_date]]-Table7[[#This Row],[manufacture_date]] &gt;=0, TRUE, FALSE)</f>
        <v>1</v>
      </c>
    </row>
    <row r="162" spans="1:13" hidden="1" x14ac:dyDescent="0.2">
      <c r="A162" t="s">
        <v>595</v>
      </c>
      <c r="B162" t="s">
        <v>99</v>
      </c>
      <c r="C162" t="s">
        <v>168</v>
      </c>
      <c r="D162" t="s">
        <v>596</v>
      </c>
      <c r="E162" s="9">
        <v>45790</v>
      </c>
      <c r="F162" s="9">
        <v>45998</v>
      </c>
      <c r="G162">
        <v>960</v>
      </c>
      <c r="H162">
        <v>0</v>
      </c>
      <c r="I162" t="s">
        <v>214</v>
      </c>
      <c r="J162" t="s">
        <v>182</v>
      </c>
      <c r="K162" t="s">
        <v>183</v>
      </c>
      <c r="M162" t="b">
        <f>IF(Table7[[#This Row],[expiry_date]]-Table7[[#This Row],[manufacture_date]] &gt;=0, TRUE, FALSE)</f>
        <v>1</v>
      </c>
    </row>
    <row r="163" spans="1:13" x14ac:dyDescent="0.2">
      <c r="A163" t="s">
        <v>597</v>
      </c>
      <c r="B163" t="s">
        <v>121</v>
      </c>
      <c r="C163" t="s">
        <v>138</v>
      </c>
      <c r="D163" t="s">
        <v>598</v>
      </c>
      <c r="E163" s="9">
        <v>45751</v>
      </c>
      <c r="F163" s="9">
        <v>46047</v>
      </c>
      <c r="G163">
        <v>360</v>
      </c>
      <c r="H163">
        <v>0</v>
      </c>
      <c r="I163" t="s">
        <v>219</v>
      </c>
      <c r="J163" t="s">
        <v>182</v>
      </c>
      <c r="K163" t="s">
        <v>183</v>
      </c>
      <c r="M163" t="b">
        <f>IF(Table7[[#This Row],[expiry_date]]-Table7[[#This Row],[manufacture_date]] &gt;=0, TRUE, FALSE)</f>
        <v>1</v>
      </c>
    </row>
    <row r="164" spans="1:13" x14ac:dyDescent="0.2">
      <c r="A164" t="s">
        <v>599</v>
      </c>
      <c r="B164" t="s">
        <v>8</v>
      </c>
      <c r="C164" t="s">
        <v>138</v>
      </c>
      <c r="D164" t="s">
        <v>600</v>
      </c>
      <c r="E164" s="9">
        <v>45970</v>
      </c>
      <c r="F164" s="9">
        <v>46041</v>
      </c>
      <c r="G164">
        <v>360</v>
      </c>
      <c r="H164">
        <v>0</v>
      </c>
      <c r="I164" t="s">
        <v>385</v>
      </c>
      <c r="J164" t="s">
        <v>231</v>
      </c>
      <c r="K164" t="s">
        <v>183</v>
      </c>
      <c r="M164" t="b">
        <f>IF(Table7[[#This Row],[expiry_date]]-Table7[[#This Row],[manufacture_date]] &gt;=0, TRUE, FALSE)</f>
        <v>1</v>
      </c>
    </row>
    <row r="165" spans="1:13" hidden="1" x14ac:dyDescent="0.2">
      <c r="A165" t="s">
        <v>601</v>
      </c>
      <c r="B165" t="s">
        <v>95</v>
      </c>
      <c r="C165" t="s">
        <v>154</v>
      </c>
      <c r="D165" t="s">
        <v>602</v>
      </c>
      <c r="E165" s="9">
        <v>45681</v>
      </c>
      <c r="F165" s="9">
        <v>46074</v>
      </c>
      <c r="G165">
        <v>360</v>
      </c>
      <c r="H165">
        <v>0</v>
      </c>
      <c r="I165" t="s">
        <v>603</v>
      </c>
      <c r="J165" t="s">
        <v>182</v>
      </c>
      <c r="K165" t="s">
        <v>183</v>
      </c>
      <c r="M165" t="b">
        <f>IF(Table7[[#This Row],[expiry_date]]-Table7[[#This Row],[manufacture_date]] &gt;=0, TRUE, FALSE)</f>
        <v>1</v>
      </c>
    </row>
    <row r="166" spans="1:13" hidden="1" x14ac:dyDescent="0.2">
      <c r="A166" t="s">
        <v>604</v>
      </c>
      <c r="B166" t="s">
        <v>48</v>
      </c>
      <c r="C166" t="s">
        <v>164</v>
      </c>
      <c r="D166" t="s">
        <v>605</v>
      </c>
      <c r="E166" s="9">
        <v>46204</v>
      </c>
      <c r="F166" s="9">
        <v>46459</v>
      </c>
      <c r="G166">
        <v>960</v>
      </c>
      <c r="H166">
        <v>744</v>
      </c>
      <c r="I166" t="s">
        <v>197</v>
      </c>
      <c r="J166" t="s">
        <v>182</v>
      </c>
      <c r="K166" t="s">
        <v>183</v>
      </c>
      <c r="M166" t="b">
        <f>IF(Table7[[#This Row],[expiry_date]]-Table7[[#This Row],[manufacture_date]] &gt;=0, TRUE, FALSE)</f>
        <v>1</v>
      </c>
    </row>
    <row r="167" spans="1:13" hidden="1" x14ac:dyDescent="0.2">
      <c r="A167" t="s">
        <v>606</v>
      </c>
      <c r="B167" t="s">
        <v>56</v>
      </c>
      <c r="C167" t="s">
        <v>152</v>
      </c>
      <c r="D167" t="s">
        <v>607</v>
      </c>
      <c r="E167" s="9">
        <v>45857</v>
      </c>
      <c r="F167" s="9">
        <v>46244</v>
      </c>
      <c r="G167">
        <v>480</v>
      </c>
      <c r="H167">
        <v>0</v>
      </c>
      <c r="I167" t="s">
        <v>425</v>
      </c>
      <c r="J167" t="s">
        <v>182</v>
      </c>
      <c r="K167" t="s">
        <v>183</v>
      </c>
      <c r="M167" t="b">
        <f>IF(Table7[[#This Row],[expiry_date]]-Table7[[#This Row],[manufacture_date]] &gt;=0, TRUE, FALSE)</f>
        <v>1</v>
      </c>
    </row>
    <row r="168" spans="1:13" hidden="1" x14ac:dyDescent="0.2">
      <c r="A168" t="s">
        <v>608</v>
      </c>
      <c r="B168" t="s">
        <v>63</v>
      </c>
      <c r="C168" t="s">
        <v>168</v>
      </c>
      <c r="D168" t="s">
        <v>609</v>
      </c>
      <c r="E168" s="9">
        <v>46038</v>
      </c>
      <c r="F168" s="9">
        <v>46361</v>
      </c>
      <c r="G168">
        <v>480</v>
      </c>
      <c r="H168">
        <v>0</v>
      </c>
      <c r="I168" t="s">
        <v>510</v>
      </c>
      <c r="J168" t="s">
        <v>269</v>
      </c>
      <c r="K168" t="s">
        <v>183</v>
      </c>
      <c r="M168" t="b">
        <f>IF(Table7[[#This Row],[expiry_date]]-Table7[[#This Row],[manufacture_date]] &gt;=0, TRUE, FALSE)</f>
        <v>1</v>
      </c>
    </row>
    <row r="169" spans="1:13" x14ac:dyDescent="0.2">
      <c r="A169" t="s">
        <v>610</v>
      </c>
      <c r="B169" t="s">
        <v>25</v>
      </c>
      <c r="C169" t="s">
        <v>138</v>
      </c>
      <c r="D169" t="s">
        <v>611</v>
      </c>
      <c r="E169" s="9">
        <v>46036</v>
      </c>
      <c r="F169" s="9">
        <v>46096</v>
      </c>
      <c r="G169">
        <v>600</v>
      </c>
      <c r="H169">
        <v>0</v>
      </c>
      <c r="I169" t="s">
        <v>612</v>
      </c>
      <c r="J169" t="s">
        <v>182</v>
      </c>
      <c r="K169" t="s">
        <v>187</v>
      </c>
      <c r="M169" t="b">
        <f>IF(Table7[[#This Row],[expiry_date]]-Table7[[#This Row],[manufacture_date]] &gt;=0, TRUE, FALSE)</f>
        <v>1</v>
      </c>
    </row>
    <row r="170" spans="1:13" hidden="1" x14ac:dyDescent="0.2">
      <c r="A170" t="s">
        <v>613</v>
      </c>
      <c r="B170" t="s">
        <v>30</v>
      </c>
      <c r="C170" t="s">
        <v>152</v>
      </c>
      <c r="D170" t="s">
        <v>614</v>
      </c>
      <c r="E170" s="9">
        <v>46254</v>
      </c>
      <c r="F170" s="9">
        <v>46303</v>
      </c>
      <c r="G170">
        <v>240</v>
      </c>
      <c r="H170">
        <v>240</v>
      </c>
      <c r="I170" t="s">
        <v>615</v>
      </c>
      <c r="J170" t="s">
        <v>182</v>
      </c>
      <c r="K170" t="s">
        <v>183</v>
      </c>
      <c r="M170" t="b">
        <f>IF(Table7[[#This Row],[expiry_date]]-Table7[[#This Row],[manufacture_date]] &gt;=0, TRUE, FALSE)</f>
        <v>1</v>
      </c>
    </row>
    <row r="171" spans="1:13" hidden="1" x14ac:dyDescent="0.2">
      <c r="A171" t="s">
        <v>616</v>
      </c>
      <c r="B171" t="s">
        <v>65</v>
      </c>
      <c r="C171" t="s">
        <v>164</v>
      </c>
      <c r="D171" t="s">
        <v>617</v>
      </c>
      <c r="E171" s="9">
        <v>45981</v>
      </c>
      <c r="F171" s="9">
        <v>46263</v>
      </c>
      <c r="G171">
        <v>240</v>
      </c>
      <c r="H171">
        <v>0</v>
      </c>
      <c r="I171" t="s">
        <v>618</v>
      </c>
      <c r="J171" t="s">
        <v>182</v>
      </c>
      <c r="K171" t="s">
        <v>183</v>
      </c>
      <c r="M171" t="b">
        <f>IF(Table7[[#This Row],[expiry_date]]-Table7[[#This Row],[manufacture_date]] &gt;=0, TRUE, FALSE)</f>
        <v>1</v>
      </c>
    </row>
    <row r="172" spans="1:13" hidden="1" x14ac:dyDescent="0.2">
      <c r="A172" t="s">
        <v>619</v>
      </c>
      <c r="B172" t="s">
        <v>105</v>
      </c>
      <c r="C172" t="s">
        <v>158</v>
      </c>
      <c r="D172" t="s">
        <v>620</v>
      </c>
      <c r="E172" s="9">
        <v>45923</v>
      </c>
      <c r="F172" s="9">
        <v>46238</v>
      </c>
      <c r="G172">
        <v>360</v>
      </c>
      <c r="H172">
        <v>0</v>
      </c>
      <c r="I172" t="s">
        <v>278</v>
      </c>
      <c r="K172" t="s">
        <v>183</v>
      </c>
      <c r="M172" t="b">
        <f>IF(Table7[[#This Row],[expiry_date]]-Table7[[#This Row],[manufacture_date]] &gt;=0, TRUE, FALSE)</f>
        <v>1</v>
      </c>
    </row>
    <row r="173" spans="1:13" x14ac:dyDescent="0.2">
      <c r="A173" t="s">
        <v>621</v>
      </c>
      <c r="B173" t="s">
        <v>14</v>
      </c>
      <c r="C173" t="s">
        <v>138</v>
      </c>
      <c r="D173" t="s">
        <v>622</v>
      </c>
      <c r="E173" s="9">
        <v>46039</v>
      </c>
      <c r="F173" s="9">
        <v>46104</v>
      </c>
      <c r="G173">
        <v>600</v>
      </c>
      <c r="H173">
        <v>22</v>
      </c>
      <c r="I173" t="s">
        <v>623</v>
      </c>
      <c r="J173" t="s">
        <v>182</v>
      </c>
      <c r="K173" t="s">
        <v>187</v>
      </c>
      <c r="M173" t="b">
        <f>IF(Table7[[#This Row],[expiry_date]]-Table7[[#This Row],[manufacture_date]] &gt;=0, TRUE, FALSE)</f>
        <v>1</v>
      </c>
    </row>
    <row r="174" spans="1:13" hidden="1" x14ac:dyDescent="0.2">
      <c r="A174" t="s">
        <v>624</v>
      </c>
      <c r="B174" t="s">
        <v>48</v>
      </c>
      <c r="C174" t="s">
        <v>168</v>
      </c>
      <c r="D174" t="s">
        <v>625</v>
      </c>
      <c r="E174" s="9">
        <v>45774</v>
      </c>
      <c r="F174" s="9">
        <v>45987</v>
      </c>
      <c r="G174">
        <v>960</v>
      </c>
      <c r="H174">
        <v>0</v>
      </c>
      <c r="I174" t="s">
        <v>626</v>
      </c>
      <c r="J174" t="s">
        <v>182</v>
      </c>
      <c r="K174" t="s">
        <v>183</v>
      </c>
      <c r="M174" t="b">
        <f>IF(Table7[[#This Row],[expiry_date]]-Table7[[#This Row],[manufacture_date]] &gt;=0, TRUE, FALSE)</f>
        <v>1</v>
      </c>
    </row>
    <row r="175" spans="1:13" hidden="1" x14ac:dyDescent="0.2">
      <c r="A175" t="s">
        <v>627</v>
      </c>
      <c r="B175" t="s">
        <v>123</v>
      </c>
      <c r="C175" t="s">
        <v>160</v>
      </c>
      <c r="D175" t="s">
        <v>628</v>
      </c>
      <c r="E175" s="9">
        <v>45700</v>
      </c>
      <c r="F175" s="9">
        <v>46030</v>
      </c>
      <c r="G175">
        <v>960</v>
      </c>
      <c r="H175">
        <v>0</v>
      </c>
      <c r="I175" t="s">
        <v>626</v>
      </c>
      <c r="J175" t="s">
        <v>182</v>
      </c>
      <c r="K175" t="s">
        <v>183</v>
      </c>
      <c r="M175" t="b">
        <f>IF(Table7[[#This Row],[expiry_date]]-Table7[[#This Row],[manufacture_date]] &gt;=0, TRUE, FALSE)</f>
        <v>1</v>
      </c>
    </row>
    <row r="176" spans="1:13" hidden="1" x14ac:dyDescent="0.2">
      <c r="A176" t="s">
        <v>629</v>
      </c>
      <c r="B176" t="s">
        <v>48</v>
      </c>
      <c r="C176" t="s">
        <v>160</v>
      </c>
      <c r="D176" t="s">
        <v>630</v>
      </c>
      <c r="E176" s="9">
        <v>45692</v>
      </c>
      <c r="F176" s="9">
        <v>45976</v>
      </c>
      <c r="G176">
        <v>480</v>
      </c>
      <c r="H176">
        <v>0</v>
      </c>
      <c r="I176" t="s">
        <v>631</v>
      </c>
      <c r="J176" t="s">
        <v>182</v>
      </c>
      <c r="K176" t="s">
        <v>187</v>
      </c>
      <c r="M176" t="b">
        <f>IF(Table7[[#This Row],[expiry_date]]-Table7[[#This Row],[manufacture_date]] &gt;=0, TRUE, FALSE)</f>
        <v>1</v>
      </c>
    </row>
    <row r="177" spans="1:13" hidden="1" x14ac:dyDescent="0.2">
      <c r="A177" t="s">
        <v>632</v>
      </c>
      <c r="B177" t="s">
        <v>36</v>
      </c>
      <c r="C177" t="s">
        <v>154</v>
      </c>
      <c r="D177" t="s">
        <v>633</v>
      </c>
      <c r="E177" s="9">
        <v>46045</v>
      </c>
      <c r="F177" s="9">
        <v>46084</v>
      </c>
      <c r="G177">
        <v>360</v>
      </c>
      <c r="H177">
        <v>114</v>
      </c>
      <c r="I177" t="s">
        <v>460</v>
      </c>
      <c r="J177" t="s">
        <v>182</v>
      </c>
      <c r="K177" t="s">
        <v>187</v>
      </c>
      <c r="M177" t="b">
        <f>IF(Table7[[#This Row],[expiry_date]]-Table7[[#This Row],[manufacture_date]] &gt;=0, TRUE, FALSE)</f>
        <v>1</v>
      </c>
    </row>
    <row r="178" spans="1:13" hidden="1" x14ac:dyDescent="0.2">
      <c r="A178" t="s">
        <v>634</v>
      </c>
      <c r="B178" t="s">
        <v>97</v>
      </c>
      <c r="C178" t="s">
        <v>154</v>
      </c>
      <c r="D178" t="s">
        <v>635</v>
      </c>
      <c r="E178" s="9">
        <v>46037</v>
      </c>
      <c r="F178" s="9">
        <v>46244</v>
      </c>
      <c r="G178">
        <v>960</v>
      </c>
      <c r="H178">
        <v>151</v>
      </c>
      <c r="I178" t="s">
        <v>193</v>
      </c>
      <c r="J178" t="s">
        <v>182</v>
      </c>
      <c r="K178" t="s">
        <v>183</v>
      </c>
      <c r="M178" t="b">
        <f>IF(Table7[[#This Row],[expiry_date]]-Table7[[#This Row],[manufacture_date]] &gt;=0, TRUE, FALSE)</f>
        <v>1</v>
      </c>
    </row>
    <row r="179" spans="1:13" hidden="1" x14ac:dyDescent="0.2">
      <c r="A179" t="s">
        <v>636</v>
      </c>
      <c r="B179" t="s">
        <v>105</v>
      </c>
      <c r="C179" t="s">
        <v>142</v>
      </c>
      <c r="D179" t="s">
        <v>637</v>
      </c>
      <c r="E179" s="9">
        <v>46100</v>
      </c>
      <c r="F179" s="9">
        <v>46276</v>
      </c>
      <c r="G179">
        <v>480</v>
      </c>
      <c r="H179">
        <v>0</v>
      </c>
      <c r="I179" t="s">
        <v>265</v>
      </c>
      <c r="J179" t="s">
        <v>182</v>
      </c>
      <c r="K179" t="s">
        <v>183</v>
      </c>
      <c r="M179" t="b">
        <f>IF(Table7[[#This Row],[expiry_date]]-Table7[[#This Row],[manufacture_date]] &gt;=0, TRUE, FALSE)</f>
        <v>1</v>
      </c>
    </row>
    <row r="180" spans="1:13" hidden="1" x14ac:dyDescent="0.2">
      <c r="A180" t="s">
        <v>638</v>
      </c>
      <c r="B180" t="s">
        <v>116</v>
      </c>
      <c r="C180" t="s">
        <v>156</v>
      </c>
      <c r="D180" t="s">
        <v>639</v>
      </c>
      <c r="E180" s="9">
        <v>45885</v>
      </c>
      <c r="F180" s="9">
        <v>46236</v>
      </c>
      <c r="G180">
        <v>120</v>
      </c>
      <c r="H180">
        <v>0</v>
      </c>
      <c r="I180" t="s">
        <v>640</v>
      </c>
      <c r="J180" t="s">
        <v>269</v>
      </c>
      <c r="K180" t="s">
        <v>187</v>
      </c>
      <c r="M180" t="b">
        <f>IF(Table7[[#This Row],[expiry_date]]-Table7[[#This Row],[manufacture_date]] &gt;=0, TRUE, FALSE)</f>
        <v>1</v>
      </c>
    </row>
    <row r="181" spans="1:13" x14ac:dyDescent="0.2">
      <c r="A181" t="s">
        <v>641</v>
      </c>
      <c r="B181" t="s">
        <v>99</v>
      </c>
      <c r="C181" t="s">
        <v>138</v>
      </c>
      <c r="D181" t="s">
        <v>642</v>
      </c>
      <c r="E181" s="9">
        <v>45902</v>
      </c>
      <c r="F181" s="9">
        <v>46093</v>
      </c>
      <c r="G181">
        <v>480</v>
      </c>
      <c r="H181">
        <v>0</v>
      </c>
      <c r="I181" t="s">
        <v>296</v>
      </c>
      <c r="J181" t="s">
        <v>182</v>
      </c>
      <c r="M181" t="b">
        <f>IF(Table7[[#This Row],[expiry_date]]-Table7[[#This Row],[manufacture_date]] &gt;=0, TRUE, FALSE)</f>
        <v>1</v>
      </c>
    </row>
    <row r="182" spans="1:13" x14ac:dyDescent="0.2">
      <c r="A182" t="s">
        <v>643</v>
      </c>
      <c r="B182" t="s">
        <v>25</v>
      </c>
      <c r="C182" t="s">
        <v>138</v>
      </c>
      <c r="D182" t="s">
        <v>644</v>
      </c>
      <c r="E182" s="9">
        <v>46166</v>
      </c>
      <c r="F182" s="9">
        <v>46246</v>
      </c>
      <c r="G182">
        <v>120</v>
      </c>
      <c r="H182">
        <v>92</v>
      </c>
      <c r="I182" t="s">
        <v>645</v>
      </c>
      <c r="J182" t="s">
        <v>182</v>
      </c>
      <c r="K182" t="s">
        <v>183</v>
      </c>
      <c r="M182" t="b">
        <f>IF(Table7[[#This Row],[expiry_date]]-Table7[[#This Row],[manufacture_date]] &gt;=0, TRUE, FALSE)</f>
        <v>1</v>
      </c>
    </row>
    <row r="183" spans="1:13" x14ac:dyDescent="0.2">
      <c r="A183" t="s">
        <v>646</v>
      </c>
      <c r="B183" t="s">
        <v>19</v>
      </c>
      <c r="C183" t="s">
        <v>138</v>
      </c>
      <c r="D183" t="s">
        <v>647</v>
      </c>
      <c r="E183" s="9">
        <v>46174</v>
      </c>
      <c r="F183" s="9">
        <v>46218</v>
      </c>
      <c r="G183">
        <v>120</v>
      </c>
      <c r="H183">
        <v>53</v>
      </c>
      <c r="I183" t="s">
        <v>589</v>
      </c>
      <c r="J183" t="s">
        <v>182</v>
      </c>
      <c r="K183" t="s">
        <v>183</v>
      </c>
      <c r="M183" t="b">
        <f>IF(Table7[[#This Row],[expiry_date]]-Table7[[#This Row],[manufacture_date]] &gt;=0, TRUE, FALSE)</f>
        <v>1</v>
      </c>
    </row>
    <row r="184" spans="1:13" hidden="1" x14ac:dyDescent="0.2">
      <c r="A184" t="s">
        <v>648</v>
      </c>
      <c r="B184" t="s">
        <v>88</v>
      </c>
      <c r="C184" t="s">
        <v>152</v>
      </c>
      <c r="D184" t="s">
        <v>649</v>
      </c>
      <c r="E184" s="9">
        <v>45943</v>
      </c>
      <c r="F184" s="9">
        <v>46116</v>
      </c>
      <c r="G184">
        <v>960</v>
      </c>
      <c r="H184">
        <v>0</v>
      </c>
      <c r="I184" t="s">
        <v>502</v>
      </c>
      <c r="J184" t="s">
        <v>182</v>
      </c>
      <c r="K184" t="s">
        <v>187</v>
      </c>
      <c r="M184" t="b">
        <f>IF(Table7[[#This Row],[expiry_date]]-Table7[[#This Row],[manufacture_date]] &gt;=0, TRUE, FALSE)</f>
        <v>1</v>
      </c>
    </row>
    <row r="185" spans="1:13" hidden="1" x14ac:dyDescent="0.2">
      <c r="A185" t="s">
        <v>650</v>
      </c>
      <c r="B185" t="s">
        <v>112</v>
      </c>
      <c r="C185" t="s">
        <v>160</v>
      </c>
      <c r="D185" t="s">
        <v>651</v>
      </c>
      <c r="E185" s="9">
        <v>46051</v>
      </c>
      <c r="F185" s="9">
        <v>46289</v>
      </c>
      <c r="G185">
        <v>600</v>
      </c>
      <c r="H185">
        <v>7</v>
      </c>
      <c r="I185" t="s">
        <v>193</v>
      </c>
      <c r="J185" t="s">
        <v>149</v>
      </c>
      <c r="K185" t="s">
        <v>183</v>
      </c>
      <c r="M185" t="b">
        <f>IF(Table7[[#This Row],[expiry_date]]-Table7[[#This Row],[manufacture_date]] &gt;=0, TRUE, FALSE)</f>
        <v>1</v>
      </c>
    </row>
    <row r="186" spans="1:13" hidden="1" x14ac:dyDescent="0.2">
      <c r="A186" t="s">
        <v>652</v>
      </c>
      <c r="B186" t="s">
        <v>25</v>
      </c>
      <c r="C186" t="s">
        <v>160</v>
      </c>
      <c r="D186" t="s">
        <v>653</v>
      </c>
      <c r="E186" s="9">
        <v>45707</v>
      </c>
      <c r="F186" s="9">
        <v>45774</v>
      </c>
      <c r="G186">
        <v>600</v>
      </c>
      <c r="H186">
        <v>0</v>
      </c>
      <c r="I186" t="s">
        <v>490</v>
      </c>
      <c r="J186" t="s">
        <v>182</v>
      </c>
      <c r="K186" t="s">
        <v>183</v>
      </c>
      <c r="M186" t="b">
        <f>IF(Table7[[#This Row],[expiry_date]]-Table7[[#This Row],[manufacture_date]] &gt;=0, TRUE, FALSE)</f>
        <v>1</v>
      </c>
    </row>
    <row r="187" spans="1:13" hidden="1" x14ac:dyDescent="0.2">
      <c r="A187" t="s">
        <v>654</v>
      </c>
      <c r="B187" t="s">
        <v>114</v>
      </c>
      <c r="C187" t="s">
        <v>164</v>
      </c>
      <c r="D187" t="s">
        <v>655</v>
      </c>
      <c r="E187" s="9">
        <v>45823</v>
      </c>
      <c r="F187" s="9">
        <v>46186</v>
      </c>
      <c r="G187">
        <v>600</v>
      </c>
      <c r="H187">
        <v>0</v>
      </c>
      <c r="I187" t="s">
        <v>640</v>
      </c>
      <c r="J187" t="s">
        <v>182</v>
      </c>
      <c r="K187" t="s">
        <v>183</v>
      </c>
      <c r="M187" t="b">
        <f>IF(Table7[[#This Row],[expiry_date]]-Table7[[#This Row],[manufacture_date]] &gt;=0, TRUE, FALSE)</f>
        <v>1</v>
      </c>
    </row>
    <row r="188" spans="1:13" x14ac:dyDescent="0.2">
      <c r="A188" t="s">
        <v>656</v>
      </c>
      <c r="B188" t="s">
        <v>8</v>
      </c>
      <c r="C188" t="s">
        <v>138</v>
      </c>
      <c r="D188" t="s">
        <v>657</v>
      </c>
      <c r="E188" s="9">
        <v>46181</v>
      </c>
      <c r="F188" s="9">
        <v>46241</v>
      </c>
      <c r="G188">
        <v>480</v>
      </c>
      <c r="H188">
        <v>152</v>
      </c>
      <c r="I188" t="s">
        <v>623</v>
      </c>
      <c r="J188" t="s">
        <v>182</v>
      </c>
      <c r="K188" t="s">
        <v>187</v>
      </c>
      <c r="M188" t="b">
        <f>IF(Table7[[#This Row],[expiry_date]]-Table7[[#This Row],[manufacture_date]] &gt;=0, TRUE, FALSE)</f>
        <v>1</v>
      </c>
    </row>
    <row r="189" spans="1:13" hidden="1" x14ac:dyDescent="0.2">
      <c r="A189" t="s">
        <v>658</v>
      </c>
      <c r="B189" t="s">
        <v>99</v>
      </c>
      <c r="C189" t="s">
        <v>160</v>
      </c>
      <c r="D189" t="s">
        <v>659</v>
      </c>
      <c r="E189" s="9">
        <v>45710</v>
      </c>
      <c r="F189" s="9">
        <v>45904</v>
      </c>
      <c r="G189">
        <v>360</v>
      </c>
      <c r="H189">
        <v>0</v>
      </c>
      <c r="I189" t="s">
        <v>205</v>
      </c>
      <c r="J189" t="s">
        <v>149</v>
      </c>
      <c r="K189" t="s">
        <v>183</v>
      </c>
      <c r="M189" t="b">
        <f>IF(Table7[[#This Row],[expiry_date]]-Table7[[#This Row],[manufacture_date]] &gt;=0, TRUE, FALSE)</f>
        <v>1</v>
      </c>
    </row>
    <row r="190" spans="1:13" hidden="1" x14ac:dyDescent="0.2">
      <c r="A190" t="s">
        <v>660</v>
      </c>
      <c r="B190" t="s">
        <v>129</v>
      </c>
      <c r="C190" t="s">
        <v>168</v>
      </c>
      <c r="D190" t="s">
        <v>661</v>
      </c>
      <c r="E190" s="9">
        <v>45959</v>
      </c>
      <c r="F190" s="9">
        <v>46324</v>
      </c>
      <c r="G190">
        <v>480</v>
      </c>
      <c r="H190">
        <v>0</v>
      </c>
      <c r="I190" t="s">
        <v>360</v>
      </c>
      <c r="J190" t="s">
        <v>182</v>
      </c>
      <c r="K190" t="s">
        <v>183</v>
      </c>
      <c r="M190" t="b">
        <f>IF(Table7[[#This Row],[expiry_date]]-Table7[[#This Row],[manufacture_date]] &gt;=0, TRUE, FALSE)</f>
        <v>1</v>
      </c>
    </row>
    <row r="191" spans="1:13" hidden="1" x14ac:dyDescent="0.2">
      <c r="A191" t="s">
        <v>662</v>
      </c>
      <c r="B191" t="s">
        <v>44</v>
      </c>
      <c r="C191" t="s">
        <v>168</v>
      </c>
      <c r="D191" t="s">
        <v>663</v>
      </c>
      <c r="E191" s="9">
        <v>46088</v>
      </c>
      <c r="F191" s="9">
        <v>46427</v>
      </c>
      <c r="G191">
        <v>480</v>
      </c>
      <c r="H191">
        <v>170</v>
      </c>
      <c r="I191" t="s">
        <v>457</v>
      </c>
      <c r="J191" t="s">
        <v>182</v>
      </c>
      <c r="K191" t="s">
        <v>187</v>
      </c>
      <c r="M191" t="b">
        <f>IF(Table7[[#This Row],[expiry_date]]-Table7[[#This Row],[manufacture_date]] &gt;=0, TRUE, FALSE)</f>
        <v>1</v>
      </c>
    </row>
    <row r="192" spans="1:13" x14ac:dyDescent="0.2">
      <c r="A192" t="s">
        <v>664</v>
      </c>
      <c r="B192" t="s">
        <v>19</v>
      </c>
      <c r="C192" t="s">
        <v>138</v>
      </c>
      <c r="D192" t="s">
        <v>665</v>
      </c>
      <c r="E192" s="9">
        <v>46224</v>
      </c>
      <c r="F192" s="9">
        <v>46262</v>
      </c>
      <c r="G192">
        <v>360</v>
      </c>
      <c r="H192">
        <v>262</v>
      </c>
      <c r="I192" t="s">
        <v>534</v>
      </c>
      <c r="J192" t="s">
        <v>182</v>
      </c>
      <c r="M192" t="b">
        <f>IF(Table7[[#This Row],[expiry_date]]-Table7[[#This Row],[manufacture_date]] &gt;=0, TRUE, FALSE)</f>
        <v>1</v>
      </c>
    </row>
    <row r="193" spans="1:13" hidden="1" x14ac:dyDescent="0.2">
      <c r="A193" t="s">
        <v>666</v>
      </c>
      <c r="B193" t="s">
        <v>86</v>
      </c>
      <c r="C193" t="s">
        <v>164</v>
      </c>
      <c r="D193" t="s">
        <v>667</v>
      </c>
      <c r="E193" s="9">
        <v>46030</v>
      </c>
      <c r="F193" s="9">
        <v>46268</v>
      </c>
      <c r="G193">
        <v>240</v>
      </c>
      <c r="H193">
        <v>0</v>
      </c>
      <c r="I193" t="s">
        <v>603</v>
      </c>
      <c r="J193" t="s">
        <v>182</v>
      </c>
      <c r="K193" t="s">
        <v>183</v>
      </c>
      <c r="M193" t="b">
        <f>IF(Table7[[#This Row],[expiry_date]]-Table7[[#This Row],[manufacture_date]] &gt;=0, TRUE, FALSE)</f>
        <v>1</v>
      </c>
    </row>
    <row r="194" spans="1:13" hidden="1" x14ac:dyDescent="0.2">
      <c r="A194" t="s">
        <v>668</v>
      </c>
      <c r="B194" t="s">
        <v>110</v>
      </c>
      <c r="C194" t="s">
        <v>145</v>
      </c>
      <c r="D194" t="s">
        <v>669</v>
      </c>
      <c r="E194" s="9">
        <v>45692</v>
      </c>
      <c r="F194" s="9">
        <v>46063</v>
      </c>
      <c r="G194">
        <v>960</v>
      </c>
      <c r="H194">
        <v>0</v>
      </c>
      <c r="I194" t="s">
        <v>539</v>
      </c>
      <c r="J194" t="s">
        <v>149</v>
      </c>
      <c r="K194" t="s">
        <v>194</v>
      </c>
      <c r="M194" t="b">
        <f>IF(Table7[[#This Row],[expiry_date]]-Table7[[#This Row],[manufacture_date]] &gt;=0, TRUE, FALSE)</f>
        <v>1</v>
      </c>
    </row>
    <row r="195" spans="1:13" hidden="1" x14ac:dyDescent="0.2">
      <c r="A195" t="s">
        <v>670</v>
      </c>
      <c r="B195" t="s">
        <v>84</v>
      </c>
      <c r="C195" t="s">
        <v>154</v>
      </c>
      <c r="D195" t="s">
        <v>344</v>
      </c>
      <c r="E195" s="9">
        <v>46036</v>
      </c>
      <c r="F195" s="9">
        <v>46263</v>
      </c>
      <c r="G195">
        <v>960</v>
      </c>
      <c r="H195">
        <v>75</v>
      </c>
      <c r="I195" t="s">
        <v>671</v>
      </c>
      <c r="J195" t="s">
        <v>182</v>
      </c>
      <c r="K195" t="s">
        <v>183</v>
      </c>
      <c r="M195" t="b">
        <f>IF(Table7[[#This Row],[expiry_date]]-Table7[[#This Row],[manufacture_date]] &gt;=0, TRUE, FALSE)</f>
        <v>1</v>
      </c>
    </row>
    <row r="196" spans="1:13" hidden="1" x14ac:dyDescent="0.2">
      <c r="A196" t="s">
        <v>672</v>
      </c>
      <c r="B196" t="s">
        <v>65</v>
      </c>
      <c r="C196" t="s">
        <v>162</v>
      </c>
      <c r="D196" t="s">
        <v>673</v>
      </c>
      <c r="E196" s="9">
        <v>46004</v>
      </c>
      <c r="F196" s="9">
        <v>46344</v>
      </c>
      <c r="G196">
        <v>360</v>
      </c>
      <c r="H196">
        <v>25</v>
      </c>
      <c r="I196" t="s">
        <v>674</v>
      </c>
      <c r="J196" t="s">
        <v>182</v>
      </c>
      <c r="K196" t="s">
        <v>183</v>
      </c>
      <c r="M196" t="b">
        <f>IF(Table7[[#This Row],[expiry_date]]-Table7[[#This Row],[manufacture_date]] &gt;=0, TRUE, FALSE)</f>
        <v>1</v>
      </c>
    </row>
    <row r="197" spans="1:13" x14ac:dyDescent="0.2">
      <c r="A197" t="s">
        <v>675</v>
      </c>
      <c r="B197" t="s">
        <v>14</v>
      </c>
      <c r="C197" t="s">
        <v>138</v>
      </c>
      <c r="D197" t="s">
        <v>676</v>
      </c>
      <c r="E197" s="9">
        <v>45974</v>
      </c>
      <c r="F197" s="9">
        <v>46025</v>
      </c>
      <c r="G197">
        <v>480</v>
      </c>
      <c r="H197">
        <v>0</v>
      </c>
      <c r="I197" t="s">
        <v>462</v>
      </c>
      <c r="J197" t="s">
        <v>182</v>
      </c>
      <c r="K197" t="s">
        <v>183</v>
      </c>
      <c r="M197" t="b">
        <f>IF(Table7[[#This Row],[expiry_date]]-Table7[[#This Row],[manufacture_date]] &gt;=0, TRUE, FALSE)</f>
        <v>1</v>
      </c>
    </row>
    <row r="198" spans="1:13" hidden="1" x14ac:dyDescent="0.2">
      <c r="A198" t="s">
        <v>677</v>
      </c>
      <c r="B198" t="s">
        <v>112</v>
      </c>
      <c r="C198" t="s">
        <v>150</v>
      </c>
      <c r="D198" t="s">
        <v>678</v>
      </c>
      <c r="E198" s="9">
        <v>45857</v>
      </c>
      <c r="F198" s="9">
        <v>46082</v>
      </c>
      <c r="G198">
        <v>120</v>
      </c>
      <c r="H198">
        <v>0</v>
      </c>
      <c r="I198" t="s">
        <v>345</v>
      </c>
      <c r="J198" t="s">
        <v>182</v>
      </c>
      <c r="K198" t="s">
        <v>183</v>
      </c>
      <c r="M198" t="b">
        <f>IF(Table7[[#This Row],[expiry_date]]-Table7[[#This Row],[manufacture_date]] &gt;=0, TRUE, FALSE)</f>
        <v>1</v>
      </c>
    </row>
    <row r="199" spans="1:13" hidden="1" x14ac:dyDescent="0.2">
      <c r="A199" t="s">
        <v>679</v>
      </c>
      <c r="B199" t="s">
        <v>52</v>
      </c>
      <c r="C199" t="s">
        <v>162</v>
      </c>
      <c r="D199" t="s">
        <v>680</v>
      </c>
      <c r="E199" s="9">
        <v>46146</v>
      </c>
      <c r="F199" s="9">
        <v>46513</v>
      </c>
      <c r="G199">
        <v>120</v>
      </c>
      <c r="H199">
        <v>46</v>
      </c>
      <c r="I199" t="s">
        <v>265</v>
      </c>
      <c r="J199" t="s">
        <v>182</v>
      </c>
      <c r="K199" t="s">
        <v>194</v>
      </c>
      <c r="M199" t="b">
        <f>IF(Table7[[#This Row],[expiry_date]]-Table7[[#This Row],[manufacture_date]] &gt;=0, TRUE, FALSE)</f>
        <v>1</v>
      </c>
    </row>
    <row r="200" spans="1:13" hidden="1" x14ac:dyDescent="0.2">
      <c r="A200" t="s">
        <v>681</v>
      </c>
      <c r="B200" t="s">
        <v>33</v>
      </c>
      <c r="C200" t="s">
        <v>168</v>
      </c>
      <c r="E200" s="9">
        <v>46022</v>
      </c>
      <c r="F200" s="9">
        <v>46083</v>
      </c>
      <c r="G200">
        <v>600</v>
      </c>
      <c r="H200">
        <v>0</v>
      </c>
      <c r="I200" t="s">
        <v>682</v>
      </c>
      <c r="J200" t="s">
        <v>182</v>
      </c>
      <c r="K200" t="s">
        <v>183</v>
      </c>
      <c r="M200" t="b">
        <f>IF(Table7[[#This Row],[expiry_date]]-Table7[[#This Row],[manufacture_date]] &gt;=0, TRUE, FALSE)</f>
        <v>1</v>
      </c>
    </row>
    <row r="201" spans="1:13" hidden="1" x14ac:dyDescent="0.2">
      <c r="A201" t="s">
        <v>683</v>
      </c>
      <c r="B201" t="s">
        <v>127</v>
      </c>
      <c r="C201" t="s">
        <v>154</v>
      </c>
      <c r="D201" t="s">
        <v>684</v>
      </c>
      <c r="E201" s="9">
        <v>46111</v>
      </c>
      <c r="F201" s="9">
        <v>46301</v>
      </c>
      <c r="G201">
        <v>480</v>
      </c>
      <c r="H201">
        <v>0</v>
      </c>
      <c r="I201" t="s">
        <v>685</v>
      </c>
      <c r="J201" t="s">
        <v>149</v>
      </c>
      <c r="K201" t="s">
        <v>187</v>
      </c>
      <c r="M201" t="b">
        <f>IF(Table7[[#This Row],[expiry_date]]-Table7[[#This Row],[manufacture_date]] &gt;=0, TRUE, FALSE)</f>
        <v>1</v>
      </c>
    </row>
    <row r="202" spans="1:13" hidden="1" x14ac:dyDescent="0.2">
      <c r="A202" t="s">
        <v>686</v>
      </c>
      <c r="B202" t="s">
        <v>93</v>
      </c>
      <c r="C202" t="s">
        <v>152</v>
      </c>
      <c r="D202" t="s">
        <v>687</v>
      </c>
      <c r="E202" s="9">
        <v>46139</v>
      </c>
      <c r="F202" s="9">
        <v>46290</v>
      </c>
      <c r="G202">
        <v>960</v>
      </c>
      <c r="H202">
        <v>267</v>
      </c>
      <c r="I202" t="s">
        <v>688</v>
      </c>
      <c r="J202" t="s">
        <v>182</v>
      </c>
      <c r="K202" t="s">
        <v>183</v>
      </c>
      <c r="M202" t="b">
        <f>IF(Table7[[#This Row],[expiry_date]]-Table7[[#This Row],[manufacture_date]] &gt;=0, TRUE, FALSE)</f>
        <v>1</v>
      </c>
    </row>
    <row r="203" spans="1:13" hidden="1" x14ac:dyDescent="0.2">
      <c r="A203" t="s">
        <v>689</v>
      </c>
      <c r="B203" t="s">
        <v>93</v>
      </c>
      <c r="C203" t="s">
        <v>145</v>
      </c>
      <c r="D203" t="s">
        <v>690</v>
      </c>
      <c r="E203" s="9">
        <v>45809</v>
      </c>
      <c r="F203" s="9">
        <v>46046</v>
      </c>
      <c r="G203">
        <v>480</v>
      </c>
      <c r="H203">
        <v>0</v>
      </c>
      <c r="I203" t="s">
        <v>211</v>
      </c>
      <c r="J203" t="s">
        <v>182</v>
      </c>
      <c r="K203" t="s">
        <v>183</v>
      </c>
      <c r="M203" t="b">
        <f>IF(Table7[[#This Row],[expiry_date]]-Table7[[#This Row],[manufacture_date]] &gt;=0, TRUE, FALSE)</f>
        <v>1</v>
      </c>
    </row>
    <row r="204" spans="1:13" hidden="1" x14ac:dyDescent="0.2">
      <c r="A204" t="s">
        <v>691</v>
      </c>
      <c r="B204" t="s">
        <v>17</v>
      </c>
      <c r="C204" t="s">
        <v>162</v>
      </c>
      <c r="D204" t="s">
        <v>692</v>
      </c>
      <c r="E204" s="9">
        <v>45933</v>
      </c>
      <c r="F204" s="9">
        <v>46017</v>
      </c>
      <c r="G204">
        <v>600</v>
      </c>
      <c r="H204">
        <v>0</v>
      </c>
      <c r="I204" t="s">
        <v>371</v>
      </c>
      <c r="J204" t="s">
        <v>182</v>
      </c>
      <c r="K204" t="s">
        <v>187</v>
      </c>
      <c r="M204" t="b">
        <f>IF(Table7[[#This Row],[expiry_date]]-Table7[[#This Row],[manufacture_date]] &gt;=0, TRUE, FALSE)</f>
        <v>1</v>
      </c>
    </row>
    <row r="205" spans="1:13" hidden="1" x14ac:dyDescent="0.2">
      <c r="A205" t="s">
        <v>693</v>
      </c>
      <c r="B205" t="s">
        <v>44</v>
      </c>
      <c r="C205" t="s">
        <v>158</v>
      </c>
      <c r="D205" t="s">
        <v>694</v>
      </c>
      <c r="E205" s="9">
        <v>45681</v>
      </c>
      <c r="F205" s="9">
        <v>45908</v>
      </c>
      <c r="G205">
        <v>480</v>
      </c>
      <c r="H205">
        <v>0</v>
      </c>
      <c r="I205" t="s">
        <v>363</v>
      </c>
      <c r="J205" t="s">
        <v>182</v>
      </c>
      <c r="K205" t="s">
        <v>183</v>
      </c>
      <c r="M205" t="b">
        <f>IF(Table7[[#This Row],[expiry_date]]-Table7[[#This Row],[manufacture_date]] &gt;=0, TRUE, FALSE)</f>
        <v>1</v>
      </c>
    </row>
    <row r="206" spans="1:13" hidden="1" x14ac:dyDescent="0.2">
      <c r="A206" t="s">
        <v>695</v>
      </c>
      <c r="B206" t="s">
        <v>42</v>
      </c>
      <c r="C206" t="s">
        <v>154</v>
      </c>
      <c r="D206" t="s">
        <v>696</v>
      </c>
      <c r="E206" s="9">
        <v>45941</v>
      </c>
      <c r="F206" s="9">
        <v>46029</v>
      </c>
      <c r="G206">
        <v>600</v>
      </c>
      <c r="H206">
        <v>0</v>
      </c>
      <c r="I206" t="s">
        <v>309</v>
      </c>
      <c r="J206" t="s">
        <v>182</v>
      </c>
      <c r="K206" t="s">
        <v>183</v>
      </c>
      <c r="M206" t="b">
        <f>IF(Table7[[#This Row],[expiry_date]]-Table7[[#This Row],[manufacture_date]] &gt;=0, TRUE, FALSE)</f>
        <v>1</v>
      </c>
    </row>
    <row r="207" spans="1:13" hidden="1" x14ac:dyDescent="0.2">
      <c r="A207" t="s">
        <v>697</v>
      </c>
      <c r="B207" t="s">
        <v>30</v>
      </c>
      <c r="C207" t="s">
        <v>164</v>
      </c>
      <c r="D207" t="s">
        <v>698</v>
      </c>
      <c r="E207" s="9">
        <v>46177</v>
      </c>
      <c r="F207" s="9">
        <v>46221</v>
      </c>
      <c r="G207">
        <v>120</v>
      </c>
      <c r="H207">
        <v>61</v>
      </c>
      <c r="I207" t="s">
        <v>331</v>
      </c>
      <c r="J207" t="s">
        <v>182</v>
      </c>
      <c r="K207" t="s">
        <v>183</v>
      </c>
      <c r="M207" t="b">
        <f>IF(Table7[[#This Row],[expiry_date]]-Table7[[#This Row],[manufacture_date]] &gt;=0, TRUE, FALSE)</f>
        <v>1</v>
      </c>
    </row>
    <row r="208" spans="1:13" x14ac:dyDescent="0.2">
      <c r="A208" t="s">
        <v>699</v>
      </c>
      <c r="B208" t="s">
        <v>17</v>
      </c>
      <c r="C208" t="s">
        <v>138</v>
      </c>
      <c r="D208" t="s">
        <v>700</v>
      </c>
      <c r="E208" s="9">
        <v>46040</v>
      </c>
      <c r="F208" s="9">
        <v>46126</v>
      </c>
      <c r="G208">
        <v>960</v>
      </c>
      <c r="H208">
        <v>0</v>
      </c>
      <c r="I208" t="s">
        <v>293</v>
      </c>
      <c r="J208" t="s">
        <v>182</v>
      </c>
      <c r="K208" t="s">
        <v>187</v>
      </c>
      <c r="M208" t="b">
        <f>IF(Table7[[#This Row],[expiry_date]]-Table7[[#This Row],[manufacture_date]] &gt;=0, TRUE, FALSE)</f>
        <v>1</v>
      </c>
    </row>
    <row r="209" spans="1:13" hidden="1" x14ac:dyDescent="0.2">
      <c r="A209" t="s">
        <v>701</v>
      </c>
      <c r="B209" t="s">
        <v>40</v>
      </c>
      <c r="C209" t="s">
        <v>156</v>
      </c>
      <c r="D209" t="s">
        <v>702</v>
      </c>
      <c r="E209" s="9">
        <v>46191</v>
      </c>
      <c r="F209" s="9">
        <v>46255</v>
      </c>
      <c r="G209">
        <v>360</v>
      </c>
      <c r="H209">
        <v>290</v>
      </c>
      <c r="I209" t="s">
        <v>385</v>
      </c>
      <c r="J209" t="s">
        <v>182</v>
      </c>
      <c r="K209" t="s">
        <v>183</v>
      </c>
      <c r="M209" t="b">
        <f>IF(Table7[[#This Row],[expiry_date]]-Table7[[#This Row],[manufacture_date]] &gt;=0, TRUE, FALSE)</f>
        <v>1</v>
      </c>
    </row>
    <row r="210" spans="1:13" hidden="1" x14ac:dyDescent="0.2">
      <c r="A210" t="s">
        <v>703</v>
      </c>
      <c r="B210" t="s">
        <v>99</v>
      </c>
      <c r="C210" t="s">
        <v>168</v>
      </c>
      <c r="D210" t="s">
        <v>704</v>
      </c>
      <c r="E210" s="9">
        <v>45857</v>
      </c>
      <c r="F210" s="9">
        <v>46163</v>
      </c>
      <c r="G210">
        <v>480</v>
      </c>
      <c r="H210">
        <v>0</v>
      </c>
      <c r="I210" t="s">
        <v>705</v>
      </c>
      <c r="J210" t="s">
        <v>182</v>
      </c>
      <c r="K210" t="s">
        <v>187</v>
      </c>
      <c r="M210" t="b">
        <f>IF(Table7[[#This Row],[expiry_date]]-Table7[[#This Row],[manufacture_date]] &gt;=0, TRUE, FALSE)</f>
        <v>1</v>
      </c>
    </row>
    <row r="211" spans="1:13" hidden="1" x14ac:dyDescent="0.2">
      <c r="A211" t="s">
        <v>706</v>
      </c>
      <c r="B211" t="s">
        <v>114</v>
      </c>
      <c r="C211" t="s">
        <v>164</v>
      </c>
      <c r="E211" s="9">
        <v>45901</v>
      </c>
      <c r="F211" s="9">
        <v>46301</v>
      </c>
      <c r="G211">
        <v>960</v>
      </c>
      <c r="H211">
        <v>0</v>
      </c>
      <c r="I211" t="s">
        <v>442</v>
      </c>
      <c r="J211" t="s">
        <v>269</v>
      </c>
      <c r="K211" t="s">
        <v>183</v>
      </c>
      <c r="M211" t="b">
        <f>IF(Table7[[#This Row],[expiry_date]]-Table7[[#This Row],[manufacture_date]] &gt;=0, TRUE, FALSE)</f>
        <v>1</v>
      </c>
    </row>
    <row r="212" spans="1:13" hidden="1" x14ac:dyDescent="0.2">
      <c r="A212" t="s">
        <v>707</v>
      </c>
      <c r="B212" t="s">
        <v>105</v>
      </c>
      <c r="C212" t="s">
        <v>168</v>
      </c>
      <c r="D212" t="s">
        <v>580</v>
      </c>
      <c r="E212" s="9">
        <v>45897</v>
      </c>
      <c r="F212" s="9">
        <v>46286</v>
      </c>
      <c r="G212">
        <v>240</v>
      </c>
      <c r="H212">
        <v>0</v>
      </c>
      <c r="I212" t="s">
        <v>290</v>
      </c>
      <c r="J212" t="s">
        <v>182</v>
      </c>
      <c r="K212" t="s">
        <v>183</v>
      </c>
      <c r="M212" t="b">
        <f>IF(Table7[[#This Row],[expiry_date]]-Table7[[#This Row],[manufacture_date]] &gt;=0, TRUE, FALSE)</f>
        <v>1</v>
      </c>
    </row>
    <row r="213" spans="1:13" hidden="1" x14ac:dyDescent="0.2">
      <c r="A213" t="s">
        <v>708</v>
      </c>
      <c r="B213" t="s">
        <v>74</v>
      </c>
      <c r="C213" t="s">
        <v>168</v>
      </c>
      <c r="E213" s="9">
        <v>45752</v>
      </c>
      <c r="F213" s="9">
        <v>46019</v>
      </c>
      <c r="G213">
        <v>480</v>
      </c>
      <c r="H213">
        <v>0</v>
      </c>
      <c r="I213" t="s">
        <v>275</v>
      </c>
      <c r="J213" t="s">
        <v>182</v>
      </c>
      <c r="K213" t="s">
        <v>183</v>
      </c>
      <c r="M213" t="b">
        <f>IF(Table7[[#This Row],[expiry_date]]-Table7[[#This Row],[manufacture_date]] &gt;=0, TRUE, FALSE)</f>
        <v>1</v>
      </c>
    </row>
    <row r="214" spans="1:13" x14ac:dyDescent="0.2">
      <c r="A214" t="s">
        <v>709</v>
      </c>
      <c r="B214" t="s">
        <v>25</v>
      </c>
      <c r="C214" t="s">
        <v>138</v>
      </c>
      <c r="D214" t="s">
        <v>710</v>
      </c>
      <c r="E214" s="9">
        <v>45983</v>
      </c>
      <c r="F214" s="9">
        <v>46050</v>
      </c>
      <c r="G214">
        <v>600</v>
      </c>
      <c r="H214">
        <v>0</v>
      </c>
      <c r="I214" t="s">
        <v>711</v>
      </c>
      <c r="J214" t="s">
        <v>182</v>
      </c>
      <c r="K214" t="s">
        <v>187</v>
      </c>
      <c r="M214" t="b">
        <f>IF(Table7[[#This Row],[expiry_date]]-Table7[[#This Row],[manufacture_date]] &gt;=0, TRUE, FALSE)</f>
        <v>1</v>
      </c>
    </row>
    <row r="215" spans="1:13" hidden="1" x14ac:dyDescent="0.2">
      <c r="A215" t="s">
        <v>712</v>
      </c>
      <c r="B215" t="s">
        <v>30</v>
      </c>
      <c r="C215" t="s">
        <v>162</v>
      </c>
      <c r="D215" t="s">
        <v>713</v>
      </c>
      <c r="E215" s="9">
        <v>46239</v>
      </c>
      <c r="F215" s="9">
        <v>46288</v>
      </c>
      <c r="G215">
        <v>120</v>
      </c>
      <c r="H215">
        <v>109</v>
      </c>
      <c r="I215" t="s">
        <v>480</v>
      </c>
      <c r="J215" t="s">
        <v>182</v>
      </c>
      <c r="K215" t="s">
        <v>183</v>
      </c>
      <c r="M215" t="b">
        <f>IF(Table7[[#This Row],[expiry_date]]-Table7[[#This Row],[manufacture_date]] &gt;=0, TRUE, FALSE)</f>
        <v>1</v>
      </c>
    </row>
    <row r="216" spans="1:13" hidden="1" x14ac:dyDescent="0.2">
      <c r="A216" t="s">
        <v>714</v>
      </c>
      <c r="B216" t="s">
        <v>52</v>
      </c>
      <c r="C216" t="s">
        <v>166</v>
      </c>
      <c r="D216" t="s">
        <v>715</v>
      </c>
      <c r="E216" s="9">
        <v>45864</v>
      </c>
      <c r="F216" s="9">
        <v>46044</v>
      </c>
      <c r="G216">
        <v>480</v>
      </c>
      <c r="H216">
        <v>0</v>
      </c>
      <c r="I216" t="s">
        <v>197</v>
      </c>
      <c r="J216" t="s">
        <v>182</v>
      </c>
      <c r="K216" t="s">
        <v>183</v>
      </c>
      <c r="M216" t="b">
        <f>IF(Table7[[#This Row],[expiry_date]]-Table7[[#This Row],[manufacture_date]] &gt;=0, TRUE, FALSE)</f>
        <v>1</v>
      </c>
    </row>
    <row r="217" spans="1:13" hidden="1" x14ac:dyDescent="0.2">
      <c r="A217" t="s">
        <v>716</v>
      </c>
      <c r="B217" t="s">
        <v>90</v>
      </c>
      <c r="C217" t="s">
        <v>154</v>
      </c>
      <c r="D217" t="s">
        <v>717</v>
      </c>
      <c r="E217" s="9">
        <v>46116</v>
      </c>
      <c r="F217" s="9">
        <v>46267</v>
      </c>
      <c r="G217">
        <v>600</v>
      </c>
      <c r="H217">
        <v>0</v>
      </c>
      <c r="I217" t="s">
        <v>211</v>
      </c>
      <c r="J217" t="s">
        <v>182</v>
      </c>
      <c r="K217" t="s">
        <v>183</v>
      </c>
      <c r="M217" t="b">
        <f>IF(Table7[[#This Row],[expiry_date]]-Table7[[#This Row],[manufacture_date]] &gt;=0, TRUE, FALSE)</f>
        <v>1</v>
      </c>
    </row>
    <row r="218" spans="1:13" hidden="1" x14ac:dyDescent="0.2">
      <c r="A218" t="s">
        <v>718</v>
      </c>
      <c r="B218" t="s">
        <v>63</v>
      </c>
      <c r="C218" t="s">
        <v>150</v>
      </c>
      <c r="D218" t="s">
        <v>719</v>
      </c>
      <c r="E218" s="9">
        <v>46065</v>
      </c>
      <c r="F218" s="9">
        <v>46442</v>
      </c>
      <c r="G218">
        <v>600</v>
      </c>
      <c r="H218">
        <v>218</v>
      </c>
      <c r="I218" t="s">
        <v>720</v>
      </c>
      <c r="J218" t="s">
        <v>182</v>
      </c>
      <c r="K218" t="s">
        <v>183</v>
      </c>
      <c r="M218" t="b">
        <f>IF(Table7[[#This Row],[expiry_date]]-Table7[[#This Row],[manufacture_date]] &gt;=0, TRUE, FALSE)</f>
        <v>1</v>
      </c>
    </row>
    <row r="219" spans="1:13" hidden="1" x14ac:dyDescent="0.2">
      <c r="A219" t="s">
        <v>721</v>
      </c>
      <c r="B219" t="s">
        <v>123</v>
      </c>
      <c r="C219" t="s">
        <v>162</v>
      </c>
      <c r="D219" t="s">
        <v>722</v>
      </c>
      <c r="E219" s="9">
        <v>45894</v>
      </c>
      <c r="F219" s="9">
        <v>46095</v>
      </c>
      <c r="G219">
        <v>240</v>
      </c>
      <c r="H219">
        <v>0</v>
      </c>
      <c r="I219" t="s">
        <v>705</v>
      </c>
      <c r="J219" t="s">
        <v>182</v>
      </c>
      <c r="K219" t="s">
        <v>183</v>
      </c>
      <c r="M219" t="b">
        <f>IF(Table7[[#This Row],[expiry_date]]-Table7[[#This Row],[manufacture_date]] &gt;=0, TRUE, FALSE)</f>
        <v>1</v>
      </c>
    </row>
    <row r="220" spans="1:13" hidden="1" x14ac:dyDescent="0.2">
      <c r="A220" t="s">
        <v>723</v>
      </c>
      <c r="B220" t="s">
        <v>86</v>
      </c>
      <c r="C220" t="s">
        <v>168</v>
      </c>
      <c r="D220" t="s">
        <v>724</v>
      </c>
      <c r="E220" s="9">
        <v>46099</v>
      </c>
      <c r="F220" s="9"/>
      <c r="G220">
        <v>960</v>
      </c>
      <c r="H220">
        <v>294</v>
      </c>
      <c r="I220" t="s">
        <v>268</v>
      </c>
      <c r="J220" t="s">
        <v>182</v>
      </c>
      <c r="K220" t="s">
        <v>183</v>
      </c>
      <c r="M220" t="b">
        <f>IF(Table7[[#This Row],[expiry_date]]-Table7[[#This Row],[manufacture_date]] &gt;=0, TRUE, FALSE)</f>
        <v>0</v>
      </c>
    </row>
    <row r="221" spans="1:13" hidden="1" x14ac:dyDescent="0.2">
      <c r="A221" t="s">
        <v>725</v>
      </c>
      <c r="B221" t="s">
        <v>129</v>
      </c>
      <c r="C221" t="s">
        <v>164</v>
      </c>
      <c r="D221" t="s">
        <v>726</v>
      </c>
      <c r="E221" s="9">
        <v>45916</v>
      </c>
      <c r="F221" s="9">
        <v>46240</v>
      </c>
      <c r="G221">
        <v>360</v>
      </c>
      <c r="H221">
        <v>0</v>
      </c>
      <c r="I221" t="s">
        <v>278</v>
      </c>
      <c r="J221" t="s">
        <v>182</v>
      </c>
      <c r="K221" t="s">
        <v>183</v>
      </c>
      <c r="M221" t="b">
        <f>IF(Table7[[#This Row],[expiry_date]]-Table7[[#This Row],[manufacture_date]] &gt;=0, TRUE, FALSE)</f>
        <v>1</v>
      </c>
    </row>
    <row r="222" spans="1:13" hidden="1" x14ac:dyDescent="0.2">
      <c r="A222" t="s">
        <v>727</v>
      </c>
      <c r="B222" t="s">
        <v>90</v>
      </c>
      <c r="C222" t="s">
        <v>154</v>
      </c>
      <c r="D222" t="s">
        <v>728</v>
      </c>
      <c r="E222" s="9">
        <v>45966</v>
      </c>
      <c r="F222" s="9">
        <v>46293</v>
      </c>
      <c r="G222">
        <v>960</v>
      </c>
      <c r="H222">
        <v>0</v>
      </c>
      <c r="I222" t="s">
        <v>323</v>
      </c>
      <c r="J222" t="s">
        <v>182</v>
      </c>
      <c r="K222" t="s">
        <v>187</v>
      </c>
      <c r="M222" t="b">
        <f>IF(Table7[[#This Row],[expiry_date]]-Table7[[#This Row],[manufacture_date]] &gt;=0, TRUE, FALSE)</f>
        <v>1</v>
      </c>
    </row>
    <row r="223" spans="1:13" hidden="1" x14ac:dyDescent="0.2">
      <c r="A223" t="s">
        <v>729</v>
      </c>
      <c r="B223" t="s">
        <v>82</v>
      </c>
      <c r="C223" t="s">
        <v>147</v>
      </c>
      <c r="D223" t="s">
        <v>730</v>
      </c>
      <c r="E223" s="9">
        <v>46048</v>
      </c>
      <c r="F223" s="9">
        <v>46391</v>
      </c>
      <c r="G223">
        <v>600</v>
      </c>
      <c r="H223">
        <v>96</v>
      </c>
      <c r="I223" t="s">
        <v>731</v>
      </c>
      <c r="J223" t="s">
        <v>182</v>
      </c>
      <c r="K223" t="s">
        <v>183</v>
      </c>
      <c r="M223" t="b">
        <f>IF(Table7[[#This Row],[expiry_date]]-Table7[[#This Row],[manufacture_date]] &gt;=0, TRUE, FALSE)</f>
        <v>1</v>
      </c>
    </row>
    <row r="224" spans="1:13" hidden="1" x14ac:dyDescent="0.2">
      <c r="A224" t="s">
        <v>732</v>
      </c>
      <c r="B224" t="s">
        <v>52</v>
      </c>
      <c r="C224" t="s">
        <v>164</v>
      </c>
      <c r="D224" t="s">
        <v>733</v>
      </c>
      <c r="E224" s="9">
        <v>45912</v>
      </c>
      <c r="F224" s="9">
        <v>46278</v>
      </c>
      <c r="G224">
        <v>360</v>
      </c>
      <c r="H224">
        <v>0</v>
      </c>
      <c r="I224" t="s">
        <v>265</v>
      </c>
      <c r="J224" t="s">
        <v>182</v>
      </c>
      <c r="K224" t="s">
        <v>183</v>
      </c>
      <c r="M224" t="b">
        <f>IF(Table7[[#This Row],[expiry_date]]-Table7[[#This Row],[manufacture_date]] &gt;=0, TRUE, FALSE)</f>
        <v>1</v>
      </c>
    </row>
    <row r="225" spans="1:13" hidden="1" x14ac:dyDescent="0.2">
      <c r="A225" t="s">
        <v>734</v>
      </c>
      <c r="B225" t="s">
        <v>22</v>
      </c>
      <c r="C225" t="s">
        <v>145</v>
      </c>
      <c r="D225" t="s">
        <v>239</v>
      </c>
      <c r="E225" s="9">
        <v>45997</v>
      </c>
      <c r="F225" s="9">
        <v>46065</v>
      </c>
      <c r="G225">
        <v>240</v>
      </c>
      <c r="H225">
        <v>0</v>
      </c>
      <c r="I225" t="s">
        <v>735</v>
      </c>
      <c r="J225" t="s">
        <v>182</v>
      </c>
      <c r="K225" t="s">
        <v>183</v>
      </c>
      <c r="M225" t="b">
        <f>IF(Table7[[#This Row],[expiry_date]]-Table7[[#This Row],[manufacture_date]] &gt;=0, TRUE, FALSE)</f>
        <v>1</v>
      </c>
    </row>
    <row r="226" spans="1:13" hidden="1" x14ac:dyDescent="0.2">
      <c r="A226" t="s">
        <v>736</v>
      </c>
      <c r="B226" t="s">
        <v>125</v>
      </c>
      <c r="C226" t="s">
        <v>152</v>
      </c>
      <c r="D226" t="s">
        <v>271</v>
      </c>
      <c r="E226" s="9">
        <v>46158</v>
      </c>
      <c r="F226" s="9">
        <v>46451</v>
      </c>
      <c r="G226">
        <v>960</v>
      </c>
      <c r="H226">
        <v>1011</v>
      </c>
      <c r="I226" t="s">
        <v>345</v>
      </c>
      <c r="J226" t="s">
        <v>149</v>
      </c>
      <c r="L226" t="s">
        <v>3140</v>
      </c>
      <c r="M226" t="b">
        <f>IF(Table7[[#This Row],[expiry_date]]-Table7[[#This Row],[manufacture_date]] &gt;=0, TRUE, FALSE)</f>
        <v>1</v>
      </c>
    </row>
    <row r="227" spans="1:13" hidden="1" x14ac:dyDescent="0.2">
      <c r="A227" t="s">
        <v>737</v>
      </c>
      <c r="B227" t="s">
        <v>71</v>
      </c>
      <c r="C227" t="s">
        <v>152</v>
      </c>
      <c r="D227" t="s">
        <v>517</v>
      </c>
      <c r="E227" s="9">
        <v>45954</v>
      </c>
      <c r="F227" s="9">
        <v>46296</v>
      </c>
      <c r="G227">
        <v>120</v>
      </c>
      <c r="H227">
        <v>0</v>
      </c>
      <c r="I227" t="s">
        <v>738</v>
      </c>
      <c r="K227" t="s">
        <v>187</v>
      </c>
      <c r="M227" t="b">
        <f>IF(Table7[[#This Row],[expiry_date]]-Table7[[#This Row],[manufacture_date]] &gt;=0, TRUE, FALSE)</f>
        <v>1</v>
      </c>
    </row>
    <row r="228" spans="1:13" hidden="1" x14ac:dyDescent="0.2">
      <c r="A228" t="s">
        <v>739</v>
      </c>
      <c r="B228" t="s">
        <v>95</v>
      </c>
      <c r="C228" t="s">
        <v>168</v>
      </c>
      <c r="D228" t="s">
        <v>740</v>
      </c>
      <c r="E228" s="9">
        <v>46009</v>
      </c>
      <c r="F228" s="9">
        <v>46212</v>
      </c>
      <c r="G228">
        <v>960</v>
      </c>
      <c r="H228">
        <v>68</v>
      </c>
      <c r="I228" t="s">
        <v>354</v>
      </c>
      <c r="J228" t="s">
        <v>182</v>
      </c>
      <c r="K228" t="s">
        <v>183</v>
      </c>
      <c r="M228" t="b">
        <f>IF(Table7[[#This Row],[expiry_date]]-Table7[[#This Row],[manufacture_date]] &gt;=0, TRUE, FALSE)</f>
        <v>1</v>
      </c>
    </row>
    <row r="229" spans="1:13" x14ac:dyDescent="0.2">
      <c r="A229" t="s">
        <v>741</v>
      </c>
      <c r="B229" t="s">
        <v>114</v>
      </c>
      <c r="C229" t="s">
        <v>138</v>
      </c>
      <c r="D229" t="s">
        <v>742</v>
      </c>
      <c r="E229" s="9">
        <v>45929</v>
      </c>
      <c r="F229" s="9">
        <v>46262</v>
      </c>
      <c r="G229">
        <v>360</v>
      </c>
      <c r="H229">
        <v>0</v>
      </c>
      <c r="I229" t="s">
        <v>743</v>
      </c>
      <c r="J229" t="s">
        <v>182</v>
      </c>
      <c r="K229" t="s">
        <v>183</v>
      </c>
      <c r="M229" t="b">
        <f>IF(Table7[[#This Row],[expiry_date]]-Table7[[#This Row],[manufacture_date]] &gt;=0, TRUE, FALSE)</f>
        <v>1</v>
      </c>
    </row>
    <row r="230" spans="1:13" hidden="1" x14ac:dyDescent="0.2">
      <c r="A230" t="s">
        <v>744</v>
      </c>
      <c r="B230" t="s">
        <v>63</v>
      </c>
      <c r="C230" t="s">
        <v>160</v>
      </c>
      <c r="D230" t="s">
        <v>745</v>
      </c>
      <c r="E230" s="9">
        <v>45990</v>
      </c>
      <c r="F230" s="9">
        <v>46290</v>
      </c>
      <c r="G230">
        <v>600</v>
      </c>
      <c r="H230">
        <v>0</v>
      </c>
      <c r="I230" t="s">
        <v>746</v>
      </c>
      <c r="J230" t="s">
        <v>182</v>
      </c>
      <c r="K230" t="s">
        <v>183</v>
      </c>
      <c r="M230" t="b">
        <f>IF(Table7[[#This Row],[expiry_date]]-Table7[[#This Row],[manufacture_date]] &gt;=0, TRUE, FALSE)</f>
        <v>1</v>
      </c>
    </row>
    <row r="231" spans="1:13" x14ac:dyDescent="0.2">
      <c r="A231" t="s">
        <v>747</v>
      </c>
      <c r="B231" t="s">
        <v>25</v>
      </c>
      <c r="C231" t="s">
        <v>138</v>
      </c>
      <c r="D231" t="s">
        <v>748</v>
      </c>
      <c r="E231" s="9">
        <v>46201</v>
      </c>
      <c r="F231" s="9">
        <v>46260</v>
      </c>
      <c r="G231">
        <v>480</v>
      </c>
      <c r="H231">
        <v>278</v>
      </c>
      <c r="I231" t="s">
        <v>357</v>
      </c>
      <c r="J231" t="s">
        <v>182</v>
      </c>
      <c r="K231" t="s">
        <v>194</v>
      </c>
      <c r="M231" t="b">
        <f>IF(Table7[[#This Row],[expiry_date]]-Table7[[#This Row],[manufacture_date]] &gt;=0, TRUE, FALSE)</f>
        <v>1</v>
      </c>
    </row>
    <row r="232" spans="1:13" hidden="1" x14ac:dyDescent="0.2">
      <c r="A232" t="s">
        <v>749</v>
      </c>
      <c r="B232" t="s">
        <v>129</v>
      </c>
      <c r="C232" t="s">
        <v>145</v>
      </c>
      <c r="D232" t="s">
        <v>750</v>
      </c>
      <c r="E232" s="9">
        <v>46054</v>
      </c>
      <c r="F232" s="9">
        <v>46449</v>
      </c>
      <c r="G232">
        <v>120</v>
      </c>
      <c r="H232">
        <v>25</v>
      </c>
      <c r="I232" t="s">
        <v>323</v>
      </c>
      <c r="J232" t="s">
        <v>182</v>
      </c>
      <c r="K232" t="s">
        <v>194</v>
      </c>
      <c r="M232" t="b">
        <f>IF(Table7[[#This Row],[expiry_date]]-Table7[[#This Row],[manufacture_date]] &gt;=0, TRUE, FALSE)</f>
        <v>1</v>
      </c>
    </row>
    <row r="233" spans="1:13" hidden="1" x14ac:dyDescent="0.2">
      <c r="A233" t="s">
        <v>751</v>
      </c>
      <c r="B233" t="s">
        <v>67</v>
      </c>
      <c r="C233" t="s">
        <v>160</v>
      </c>
      <c r="D233" t="s">
        <v>752</v>
      </c>
      <c r="E233" s="9">
        <v>45885</v>
      </c>
      <c r="F233" s="9">
        <v>46286</v>
      </c>
      <c r="G233">
        <v>240</v>
      </c>
      <c r="H233">
        <v>0</v>
      </c>
      <c r="I233" t="s">
        <v>674</v>
      </c>
      <c r="J233" t="s">
        <v>182</v>
      </c>
      <c r="K233" t="s">
        <v>183</v>
      </c>
      <c r="M233" t="b">
        <f>IF(Table7[[#This Row],[expiry_date]]-Table7[[#This Row],[manufacture_date]] &gt;=0, TRUE, FALSE)</f>
        <v>1</v>
      </c>
    </row>
    <row r="234" spans="1:13" x14ac:dyDescent="0.2">
      <c r="A234" t="s">
        <v>753</v>
      </c>
      <c r="B234" t="s">
        <v>22</v>
      </c>
      <c r="C234" t="s">
        <v>138</v>
      </c>
      <c r="D234" t="s">
        <v>754</v>
      </c>
      <c r="E234" s="9">
        <v>46148</v>
      </c>
      <c r="F234" s="9">
        <v>46229</v>
      </c>
      <c r="G234">
        <v>600</v>
      </c>
      <c r="H234">
        <v>413</v>
      </c>
      <c r="I234" t="s">
        <v>462</v>
      </c>
      <c r="J234" t="s">
        <v>182</v>
      </c>
      <c r="K234" t="s">
        <v>183</v>
      </c>
      <c r="M234" t="b">
        <f>IF(Table7[[#This Row],[expiry_date]]-Table7[[#This Row],[manufacture_date]] &gt;=0, TRUE, FALSE)</f>
        <v>1</v>
      </c>
    </row>
    <row r="235" spans="1:13" hidden="1" x14ac:dyDescent="0.2">
      <c r="A235" t="s">
        <v>755</v>
      </c>
      <c r="B235" t="s">
        <v>36</v>
      </c>
      <c r="C235" t="s">
        <v>152</v>
      </c>
      <c r="D235" t="s">
        <v>756</v>
      </c>
      <c r="E235" s="9">
        <v>46045</v>
      </c>
      <c r="F235" s="9">
        <v>46131</v>
      </c>
      <c r="G235">
        <v>360</v>
      </c>
      <c r="H235">
        <v>0</v>
      </c>
      <c r="I235" t="s">
        <v>480</v>
      </c>
      <c r="J235" t="s">
        <v>182</v>
      </c>
      <c r="K235" t="s">
        <v>194</v>
      </c>
      <c r="M235" t="b">
        <f>IF(Table7[[#This Row],[expiry_date]]-Table7[[#This Row],[manufacture_date]] &gt;=0, TRUE, FALSE)</f>
        <v>1</v>
      </c>
    </row>
    <row r="236" spans="1:13" hidden="1" x14ac:dyDescent="0.2">
      <c r="A236" t="s">
        <v>757</v>
      </c>
      <c r="B236" t="s">
        <v>84</v>
      </c>
      <c r="C236" t="s">
        <v>160</v>
      </c>
      <c r="D236" t="s">
        <v>758</v>
      </c>
      <c r="E236" s="9">
        <v>45984</v>
      </c>
      <c r="F236" s="9">
        <v>46258</v>
      </c>
      <c r="G236">
        <v>600</v>
      </c>
      <c r="H236">
        <v>0</v>
      </c>
      <c r="I236" t="s">
        <v>575</v>
      </c>
      <c r="J236" t="s">
        <v>182</v>
      </c>
      <c r="K236" t="s">
        <v>183</v>
      </c>
      <c r="M236" t="b">
        <f>IF(Table7[[#This Row],[expiry_date]]-Table7[[#This Row],[manufacture_date]] &gt;=0, TRUE, FALSE)</f>
        <v>1</v>
      </c>
    </row>
    <row r="237" spans="1:13" hidden="1" x14ac:dyDescent="0.2">
      <c r="A237" t="s">
        <v>759</v>
      </c>
      <c r="B237" t="s">
        <v>90</v>
      </c>
      <c r="C237" t="s">
        <v>158</v>
      </c>
      <c r="D237" t="s">
        <v>760</v>
      </c>
      <c r="E237" s="9">
        <v>46086</v>
      </c>
      <c r="F237" s="9">
        <v>46432</v>
      </c>
      <c r="G237">
        <v>600</v>
      </c>
      <c r="H237">
        <v>0</v>
      </c>
      <c r="I237" t="s">
        <v>281</v>
      </c>
      <c r="J237" t="s">
        <v>149</v>
      </c>
      <c r="K237" t="s">
        <v>183</v>
      </c>
      <c r="M237" t="b">
        <f>IF(Table7[[#This Row],[expiry_date]]-Table7[[#This Row],[manufacture_date]] &gt;=0, TRUE, FALSE)</f>
        <v>1</v>
      </c>
    </row>
    <row r="238" spans="1:13" x14ac:dyDescent="0.2">
      <c r="A238" t="s">
        <v>761</v>
      </c>
      <c r="B238" t="s">
        <v>56</v>
      </c>
      <c r="C238" t="s">
        <v>138</v>
      </c>
      <c r="D238" t="s">
        <v>762</v>
      </c>
      <c r="E238" s="9">
        <v>45988</v>
      </c>
      <c r="F238" s="9">
        <v>46268</v>
      </c>
      <c r="G238">
        <v>120</v>
      </c>
      <c r="H238">
        <v>0</v>
      </c>
      <c r="I238" t="s">
        <v>531</v>
      </c>
      <c r="J238" t="s">
        <v>182</v>
      </c>
      <c r="K238" t="s">
        <v>183</v>
      </c>
      <c r="M238" t="b">
        <f>IF(Table7[[#This Row],[expiry_date]]-Table7[[#This Row],[manufacture_date]] &gt;=0, TRUE, FALSE)</f>
        <v>1</v>
      </c>
    </row>
    <row r="239" spans="1:13" x14ac:dyDescent="0.2">
      <c r="A239" t="s">
        <v>763</v>
      </c>
      <c r="B239" t="s">
        <v>99</v>
      </c>
      <c r="C239" t="s">
        <v>138</v>
      </c>
      <c r="D239" t="s">
        <v>764</v>
      </c>
      <c r="E239" s="9">
        <v>45821</v>
      </c>
      <c r="F239" s="9">
        <v>46159</v>
      </c>
      <c r="G239">
        <v>960</v>
      </c>
      <c r="H239">
        <v>0</v>
      </c>
      <c r="I239" t="s">
        <v>765</v>
      </c>
      <c r="J239" t="s">
        <v>149</v>
      </c>
      <c r="K239" t="s">
        <v>183</v>
      </c>
      <c r="M239" t="b">
        <f>IF(Table7[[#This Row],[expiry_date]]-Table7[[#This Row],[manufacture_date]] &gt;=0, TRUE, FALSE)</f>
        <v>1</v>
      </c>
    </row>
    <row r="240" spans="1:13" hidden="1" x14ac:dyDescent="0.2">
      <c r="A240" t="s">
        <v>766</v>
      </c>
      <c r="B240" t="s">
        <v>86</v>
      </c>
      <c r="C240" t="s">
        <v>158</v>
      </c>
      <c r="D240" t="s">
        <v>767</v>
      </c>
      <c r="E240" s="9">
        <v>45719</v>
      </c>
      <c r="F240" s="9">
        <v>45879</v>
      </c>
      <c r="G240">
        <v>960</v>
      </c>
      <c r="H240">
        <v>0</v>
      </c>
      <c r="I240" t="s">
        <v>205</v>
      </c>
      <c r="J240" t="s">
        <v>182</v>
      </c>
      <c r="K240" t="s">
        <v>194</v>
      </c>
      <c r="M240" t="b">
        <f>IF(Table7[[#This Row],[expiry_date]]-Table7[[#This Row],[manufacture_date]] &gt;=0, TRUE, FALSE)</f>
        <v>1</v>
      </c>
    </row>
    <row r="241" spans="1:13" hidden="1" x14ac:dyDescent="0.2">
      <c r="A241" t="s">
        <v>768</v>
      </c>
      <c r="B241" t="s">
        <v>22</v>
      </c>
      <c r="C241" t="s">
        <v>156</v>
      </c>
      <c r="D241" t="s">
        <v>769</v>
      </c>
      <c r="E241" s="9">
        <v>46057</v>
      </c>
      <c r="F241" s="9">
        <v>46106</v>
      </c>
      <c r="G241">
        <v>600</v>
      </c>
      <c r="H241">
        <v>17</v>
      </c>
      <c r="I241" t="s">
        <v>770</v>
      </c>
      <c r="J241" t="s">
        <v>182</v>
      </c>
      <c r="K241" t="s">
        <v>183</v>
      </c>
      <c r="M241" t="b">
        <f>IF(Table7[[#This Row],[expiry_date]]-Table7[[#This Row],[manufacture_date]] &gt;=0, TRUE, FALSE)</f>
        <v>1</v>
      </c>
    </row>
    <row r="242" spans="1:13" hidden="1" x14ac:dyDescent="0.2">
      <c r="A242" t="s">
        <v>771</v>
      </c>
      <c r="B242" t="s">
        <v>40</v>
      </c>
      <c r="C242" t="s">
        <v>166</v>
      </c>
      <c r="D242" t="s">
        <v>772</v>
      </c>
      <c r="E242" s="9">
        <v>46201</v>
      </c>
      <c r="F242" s="9">
        <v>46281</v>
      </c>
      <c r="G242">
        <v>120</v>
      </c>
      <c r="H242">
        <v>80</v>
      </c>
      <c r="I242" t="s">
        <v>589</v>
      </c>
      <c r="J242" t="s">
        <v>182</v>
      </c>
      <c r="K242" t="s">
        <v>183</v>
      </c>
      <c r="M242" t="b">
        <f>IF(Table7[[#This Row],[expiry_date]]-Table7[[#This Row],[manufacture_date]] &gt;=0, TRUE, FALSE)</f>
        <v>1</v>
      </c>
    </row>
    <row r="243" spans="1:13" hidden="1" x14ac:dyDescent="0.2">
      <c r="A243" t="s">
        <v>773</v>
      </c>
      <c r="B243" t="s">
        <v>101</v>
      </c>
      <c r="C243" t="s">
        <v>145</v>
      </c>
      <c r="D243" t="s">
        <v>774</v>
      </c>
      <c r="E243" s="9">
        <v>46003</v>
      </c>
      <c r="F243" s="9">
        <v>46284</v>
      </c>
      <c r="G243">
        <v>120</v>
      </c>
      <c r="H243">
        <v>0</v>
      </c>
      <c r="I243" t="s">
        <v>445</v>
      </c>
      <c r="J243" t="s">
        <v>182</v>
      </c>
      <c r="K243" t="s">
        <v>187</v>
      </c>
      <c r="M243" t="b">
        <f>IF(Table7[[#This Row],[expiry_date]]-Table7[[#This Row],[manufacture_date]] &gt;=0, TRUE, FALSE)</f>
        <v>1</v>
      </c>
    </row>
    <row r="244" spans="1:13" x14ac:dyDescent="0.2">
      <c r="A244" t="s">
        <v>775</v>
      </c>
      <c r="B244" t="s">
        <v>25</v>
      </c>
      <c r="C244" t="s">
        <v>138</v>
      </c>
      <c r="E244" s="9">
        <v>46216</v>
      </c>
      <c r="F244" s="9">
        <v>46281</v>
      </c>
      <c r="G244">
        <v>480</v>
      </c>
      <c r="H244">
        <v>347</v>
      </c>
      <c r="I244" t="s">
        <v>480</v>
      </c>
      <c r="J244" t="s">
        <v>182</v>
      </c>
      <c r="K244" t="s">
        <v>194</v>
      </c>
      <c r="M244" t="b">
        <f>IF(Table7[[#This Row],[expiry_date]]-Table7[[#This Row],[manufacture_date]] &gt;=0, TRUE, FALSE)</f>
        <v>1</v>
      </c>
    </row>
    <row r="245" spans="1:13" hidden="1" x14ac:dyDescent="0.2">
      <c r="A245" t="s">
        <v>776</v>
      </c>
      <c r="B245" t="s">
        <v>103</v>
      </c>
      <c r="C245" t="s">
        <v>147</v>
      </c>
      <c r="D245" t="s">
        <v>777</v>
      </c>
      <c r="E245" s="9">
        <v>45907</v>
      </c>
      <c r="F245" s="9">
        <v>46153</v>
      </c>
      <c r="G245">
        <v>480</v>
      </c>
      <c r="H245">
        <v>0</v>
      </c>
      <c r="I245" t="s">
        <v>513</v>
      </c>
      <c r="J245" t="s">
        <v>182</v>
      </c>
      <c r="K245" t="s">
        <v>183</v>
      </c>
      <c r="M245" t="b">
        <f>IF(Table7[[#This Row],[expiry_date]]-Table7[[#This Row],[manufacture_date]] &gt;=0, TRUE, FALSE)</f>
        <v>1</v>
      </c>
    </row>
    <row r="246" spans="1:13" hidden="1" x14ac:dyDescent="0.2">
      <c r="A246" t="s">
        <v>778</v>
      </c>
      <c r="B246" t="s">
        <v>86</v>
      </c>
      <c r="C246" t="s">
        <v>154</v>
      </c>
      <c r="D246" t="s">
        <v>779</v>
      </c>
      <c r="E246" s="9">
        <v>45673</v>
      </c>
      <c r="F246" s="9">
        <v>46052</v>
      </c>
      <c r="G246">
        <v>960</v>
      </c>
      <c r="H246">
        <v>0</v>
      </c>
      <c r="I246" t="s">
        <v>186</v>
      </c>
      <c r="J246" t="s">
        <v>182</v>
      </c>
      <c r="K246" t="s">
        <v>187</v>
      </c>
      <c r="M246" t="b">
        <f>IF(Table7[[#This Row],[expiry_date]]-Table7[[#This Row],[manufacture_date]] &gt;=0, TRUE, FALSE)</f>
        <v>1</v>
      </c>
    </row>
    <row r="247" spans="1:13" hidden="1" x14ac:dyDescent="0.2">
      <c r="A247" t="s">
        <v>780</v>
      </c>
      <c r="B247" t="s">
        <v>125</v>
      </c>
      <c r="C247" t="s">
        <v>147</v>
      </c>
      <c r="D247" t="s">
        <v>781</v>
      </c>
      <c r="E247" s="9">
        <v>45772</v>
      </c>
      <c r="F247" s="9">
        <v>46030</v>
      </c>
      <c r="G247">
        <v>240</v>
      </c>
      <c r="H247">
        <v>0</v>
      </c>
      <c r="I247" t="s">
        <v>513</v>
      </c>
      <c r="J247" t="s">
        <v>182</v>
      </c>
      <c r="K247" t="s">
        <v>183</v>
      </c>
      <c r="M247" t="b">
        <f>IF(Table7[[#This Row],[expiry_date]]-Table7[[#This Row],[manufacture_date]] &gt;=0, TRUE, FALSE)</f>
        <v>1</v>
      </c>
    </row>
    <row r="248" spans="1:13" hidden="1" x14ac:dyDescent="0.2">
      <c r="A248" t="s">
        <v>782</v>
      </c>
      <c r="B248" t="s">
        <v>71</v>
      </c>
      <c r="C248" t="s">
        <v>162</v>
      </c>
      <c r="D248" t="s">
        <v>783</v>
      </c>
      <c r="E248" s="9">
        <v>45995</v>
      </c>
      <c r="F248" s="9">
        <v>46369</v>
      </c>
      <c r="G248">
        <v>360</v>
      </c>
      <c r="H248">
        <v>0</v>
      </c>
      <c r="I248" t="s">
        <v>784</v>
      </c>
      <c r="J248" t="s">
        <v>182</v>
      </c>
      <c r="K248" t="s">
        <v>187</v>
      </c>
      <c r="M248" t="b">
        <f>IF(Table7[[#This Row],[expiry_date]]-Table7[[#This Row],[manufacture_date]] &gt;=0, TRUE, FALSE)</f>
        <v>1</v>
      </c>
    </row>
    <row r="249" spans="1:13" hidden="1" x14ac:dyDescent="0.2">
      <c r="A249" t="s">
        <v>785</v>
      </c>
      <c r="B249" t="s">
        <v>86</v>
      </c>
      <c r="C249" t="s">
        <v>160</v>
      </c>
      <c r="D249" t="s">
        <v>786</v>
      </c>
      <c r="E249" s="9">
        <v>45983</v>
      </c>
      <c r="F249" s="9">
        <v>46275</v>
      </c>
      <c r="G249">
        <v>480</v>
      </c>
      <c r="H249">
        <v>0</v>
      </c>
      <c r="I249" t="s">
        <v>787</v>
      </c>
      <c r="J249" t="s">
        <v>182</v>
      </c>
      <c r="M249" t="b">
        <f>IF(Table7[[#This Row],[expiry_date]]-Table7[[#This Row],[manufacture_date]] &gt;=0, TRUE, FALSE)</f>
        <v>1</v>
      </c>
    </row>
    <row r="250" spans="1:13" x14ac:dyDescent="0.2">
      <c r="A250" t="s">
        <v>788</v>
      </c>
      <c r="B250" t="s">
        <v>28</v>
      </c>
      <c r="C250" t="s">
        <v>138</v>
      </c>
      <c r="D250" t="s">
        <v>789</v>
      </c>
      <c r="E250" s="9">
        <v>46170</v>
      </c>
      <c r="F250" s="9">
        <v>46255</v>
      </c>
      <c r="G250">
        <v>360</v>
      </c>
      <c r="H250">
        <v>254</v>
      </c>
      <c r="I250" t="s">
        <v>331</v>
      </c>
      <c r="J250" t="s">
        <v>182</v>
      </c>
      <c r="K250" t="s">
        <v>183</v>
      </c>
      <c r="M250" t="b">
        <f>IF(Table7[[#This Row],[expiry_date]]-Table7[[#This Row],[manufacture_date]] &gt;=0, TRUE, FALSE)</f>
        <v>1</v>
      </c>
    </row>
    <row r="251" spans="1:13" hidden="1" x14ac:dyDescent="0.2">
      <c r="A251" t="s">
        <v>790</v>
      </c>
      <c r="B251" t="s">
        <v>25</v>
      </c>
      <c r="C251" t="s">
        <v>160</v>
      </c>
      <c r="D251" t="s">
        <v>791</v>
      </c>
      <c r="E251" s="9">
        <v>46065</v>
      </c>
      <c r="F251" s="9">
        <v>46125</v>
      </c>
      <c r="G251">
        <v>600</v>
      </c>
      <c r="H251">
        <v>177</v>
      </c>
      <c r="I251" t="s">
        <v>419</v>
      </c>
      <c r="J251" t="s">
        <v>182</v>
      </c>
      <c r="K251" t="s">
        <v>183</v>
      </c>
      <c r="M251" t="b">
        <f>IF(Table7[[#This Row],[expiry_date]]-Table7[[#This Row],[manufacture_date]] &gt;=0, TRUE, FALSE)</f>
        <v>1</v>
      </c>
    </row>
    <row r="252" spans="1:13" x14ac:dyDescent="0.2">
      <c r="A252" t="s">
        <v>792</v>
      </c>
      <c r="B252" t="s">
        <v>93</v>
      </c>
      <c r="C252" t="s">
        <v>138</v>
      </c>
      <c r="D252" t="s">
        <v>793</v>
      </c>
      <c r="E252" s="9">
        <v>45845</v>
      </c>
      <c r="F252" s="9">
        <v>46167</v>
      </c>
      <c r="G252">
        <v>120</v>
      </c>
      <c r="H252">
        <v>194</v>
      </c>
      <c r="I252" t="s">
        <v>391</v>
      </c>
      <c r="J252" t="s">
        <v>182</v>
      </c>
      <c r="K252" t="s">
        <v>187</v>
      </c>
      <c r="L252" t="s">
        <v>3140</v>
      </c>
      <c r="M252" t="b">
        <f>IF(Table7[[#This Row],[expiry_date]]-Table7[[#This Row],[manufacture_date]] &gt;=0, TRUE, FALSE)</f>
        <v>1</v>
      </c>
    </row>
    <row r="253" spans="1:13" x14ac:dyDescent="0.2">
      <c r="A253" t="s">
        <v>794</v>
      </c>
      <c r="B253" t="s">
        <v>25</v>
      </c>
      <c r="C253" t="s">
        <v>138</v>
      </c>
      <c r="E253" s="9">
        <v>46028</v>
      </c>
      <c r="F253" s="9">
        <v>46085</v>
      </c>
      <c r="G253">
        <v>360</v>
      </c>
      <c r="H253">
        <v>0</v>
      </c>
      <c r="I253" t="s">
        <v>795</v>
      </c>
      <c r="J253" t="s">
        <v>231</v>
      </c>
      <c r="K253" t="s">
        <v>187</v>
      </c>
      <c r="M253" t="b">
        <f>IF(Table7[[#This Row],[expiry_date]]-Table7[[#This Row],[manufacture_date]] &gt;=0, TRUE, FALSE)</f>
        <v>1</v>
      </c>
    </row>
    <row r="254" spans="1:13" hidden="1" x14ac:dyDescent="0.2">
      <c r="A254" t="s">
        <v>796</v>
      </c>
      <c r="B254" t="s">
        <v>52</v>
      </c>
      <c r="C254" t="s">
        <v>166</v>
      </c>
      <c r="D254" t="s">
        <v>733</v>
      </c>
      <c r="E254" s="9">
        <v>45928</v>
      </c>
      <c r="F254" s="9">
        <v>46255</v>
      </c>
      <c r="G254">
        <v>480</v>
      </c>
      <c r="H254">
        <v>0</v>
      </c>
      <c r="I254" t="s">
        <v>197</v>
      </c>
      <c r="J254" t="s">
        <v>182</v>
      </c>
      <c r="K254" t="s">
        <v>183</v>
      </c>
      <c r="M254" t="b">
        <f>IF(Table7[[#This Row],[expiry_date]]-Table7[[#This Row],[manufacture_date]] &gt;=0, TRUE, FALSE)</f>
        <v>1</v>
      </c>
    </row>
    <row r="255" spans="1:13" hidden="1" x14ac:dyDescent="0.2">
      <c r="A255" t="s">
        <v>797</v>
      </c>
      <c r="B255" t="s">
        <v>108</v>
      </c>
      <c r="C255" t="s">
        <v>154</v>
      </c>
      <c r="D255" t="s">
        <v>798</v>
      </c>
      <c r="E255" s="9">
        <v>45897</v>
      </c>
      <c r="F255" s="9">
        <v>46220</v>
      </c>
      <c r="G255">
        <v>960</v>
      </c>
      <c r="H255">
        <v>0</v>
      </c>
      <c r="I255" t="s">
        <v>799</v>
      </c>
      <c r="J255" t="s">
        <v>182</v>
      </c>
      <c r="K255" t="s">
        <v>183</v>
      </c>
      <c r="M255" t="b">
        <f>IF(Table7[[#This Row],[expiry_date]]-Table7[[#This Row],[manufacture_date]] &gt;=0, TRUE, FALSE)</f>
        <v>1</v>
      </c>
    </row>
    <row r="256" spans="1:13" hidden="1" x14ac:dyDescent="0.2">
      <c r="A256" t="s">
        <v>800</v>
      </c>
      <c r="B256" t="s">
        <v>97</v>
      </c>
      <c r="C256" t="s">
        <v>150</v>
      </c>
      <c r="D256" t="s">
        <v>801</v>
      </c>
      <c r="E256" s="9">
        <v>46159</v>
      </c>
      <c r="F256" s="9">
        <v>46389</v>
      </c>
      <c r="G256">
        <v>360</v>
      </c>
      <c r="H256">
        <v>196</v>
      </c>
      <c r="I256" t="s">
        <v>603</v>
      </c>
      <c r="J256" t="s">
        <v>182</v>
      </c>
      <c r="K256" t="s">
        <v>183</v>
      </c>
      <c r="M256" t="b">
        <f>IF(Table7[[#This Row],[expiry_date]]-Table7[[#This Row],[manufacture_date]] &gt;=0, TRUE, FALSE)</f>
        <v>1</v>
      </c>
    </row>
    <row r="257" spans="1:13" hidden="1" x14ac:dyDescent="0.2">
      <c r="A257" t="s">
        <v>802</v>
      </c>
      <c r="B257" t="s">
        <v>48</v>
      </c>
      <c r="C257" t="s">
        <v>142</v>
      </c>
      <c r="D257" t="s">
        <v>803</v>
      </c>
      <c r="E257" s="9">
        <v>45871</v>
      </c>
      <c r="F257" s="9">
        <v>46235</v>
      </c>
      <c r="G257">
        <v>600</v>
      </c>
      <c r="H257">
        <v>0</v>
      </c>
      <c r="I257" t="s">
        <v>197</v>
      </c>
      <c r="J257" t="s">
        <v>182</v>
      </c>
      <c r="K257" t="s">
        <v>183</v>
      </c>
      <c r="M257" t="b">
        <f>IF(Table7[[#This Row],[expiry_date]]-Table7[[#This Row],[manufacture_date]] &gt;=0, TRUE, FALSE)</f>
        <v>1</v>
      </c>
    </row>
    <row r="258" spans="1:13" hidden="1" x14ac:dyDescent="0.2">
      <c r="A258" t="s">
        <v>804</v>
      </c>
      <c r="B258" t="s">
        <v>99</v>
      </c>
      <c r="C258" t="s">
        <v>166</v>
      </c>
      <c r="D258" t="s">
        <v>805</v>
      </c>
      <c r="E258" s="9">
        <v>46174</v>
      </c>
      <c r="F258" s="9">
        <v>46370</v>
      </c>
      <c r="G258">
        <v>600</v>
      </c>
      <c r="H258">
        <v>332</v>
      </c>
      <c r="I258" t="s">
        <v>265</v>
      </c>
      <c r="J258" t="s">
        <v>269</v>
      </c>
      <c r="K258" t="s">
        <v>187</v>
      </c>
      <c r="M258" t="b">
        <f>IF(Table7[[#This Row],[expiry_date]]-Table7[[#This Row],[manufacture_date]] &gt;=0, TRUE, FALSE)</f>
        <v>1</v>
      </c>
    </row>
    <row r="259" spans="1:13" hidden="1" x14ac:dyDescent="0.2">
      <c r="A259" t="s">
        <v>806</v>
      </c>
      <c r="B259" t="s">
        <v>84</v>
      </c>
      <c r="C259" t="s">
        <v>162</v>
      </c>
      <c r="D259" t="s">
        <v>805</v>
      </c>
      <c r="E259" s="9">
        <v>46202</v>
      </c>
      <c r="F259" s="9">
        <v>46469</v>
      </c>
      <c r="G259">
        <v>360</v>
      </c>
      <c r="H259">
        <v>206</v>
      </c>
      <c r="I259" t="s">
        <v>323</v>
      </c>
      <c r="J259" t="s">
        <v>182</v>
      </c>
      <c r="M259" t="b">
        <f>IF(Table7[[#This Row],[expiry_date]]-Table7[[#This Row],[manufacture_date]] &gt;=0, TRUE, FALSE)</f>
        <v>1</v>
      </c>
    </row>
    <row r="260" spans="1:13" hidden="1" x14ac:dyDescent="0.2">
      <c r="A260" t="s">
        <v>807</v>
      </c>
      <c r="B260" t="s">
        <v>65</v>
      </c>
      <c r="C260" t="s">
        <v>152</v>
      </c>
      <c r="D260" t="s">
        <v>808</v>
      </c>
      <c r="E260" s="9">
        <v>46182</v>
      </c>
      <c r="F260" s="9">
        <v>46560</v>
      </c>
      <c r="G260">
        <v>240</v>
      </c>
      <c r="H260">
        <v>184</v>
      </c>
      <c r="I260" t="s">
        <v>809</v>
      </c>
      <c r="J260" t="s">
        <v>182</v>
      </c>
      <c r="K260" t="s">
        <v>187</v>
      </c>
      <c r="M260" t="b">
        <f>IF(Table7[[#This Row],[expiry_date]]-Table7[[#This Row],[manufacture_date]] &gt;=0, TRUE, FALSE)</f>
        <v>1</v>
      </c>
    </row>
    <row r="261" spans="1:13" x14ac:dyDescent="0.2">
      <c r="A261" t="s">
        <v>810</v>
      </c>
      <c r="B261" t="s">
        <v>97</v>
      </c>
      <c r="C261" t="s">
        <v>138</v>
      </c>
      <c r="D261" t="s">
        <v>811</v>
      </c>
      <c r="E261" s="9">
        <v>46062</v>
      </c>
      <c r="F261" s="9">
        <v>46262</v>
      </c>
      <c r="G261">
        <v>240</v>
      </c>
      <c r="H261">
        <v>0</v>
      </c>
      <c r="I261" t="s">
        <v>265</v>
      </c>
      <c r="J261" t="s">
        <v>182</v>
      </c>
      <c r="K261" t="s">
        <v>183</v>
      </c>
      <c r="M261" t="b">
        <f>IF(Table7[[#This Row],[expiry_date]]-Table7[[#This Row],[manufacture_date]] &gt;=0, TRUE, FALSE)</f>
        <v>1</v>
      </c>
    </row>
    <row r="262" spans="1:13" hidden="1" x14ac:dyDescent="0.2">
      <c r="A262" t="s">
        <v>812</v>
      </c>
      <c r="B262" t="s">
        <v>99</v>
      </c>
      <c r="C262" t="s">
        <v>150</v>
      </c>
      <c r="D262" t="s">
        <v>813</v>
      </c>
      <c r="E262" s="9">
        <v>45890</v>
      </c>
      <c r="F262" s="9">
        <v>46216</v>
      </c>
      <c r="G262">
        <v>240</v>
      </c>
      <c r="H262">
        <v>0</v>
      </c>
      <c r="I262" t="s">
        <v>219</v>
      </c>
      <c r="J262" t="s">
        <v>182</v>
      </c>
      <c r="K262" t="s">
        <v>183</v>
      </c>
      <c r="M262" t="b">
        <f>IF(Table7[[#This Row],[expiry_date]]-Table7[[#This Row],[manufacture_date]] &gt;=0, TRUE, FALSE)</f>
        <v>1</v>
      </c>
    </row>
    <row r="263" spans="1:13" hidden="1" x14ac:dyDescent="0.2">
      <c r="A263" t="s">
        <v>814</v>
      </c>
      <c r="B263" t="s">
        <v>114</v>
      </c>
      <c r="C263" t="s">
        <v>145</v>
      </c>
      <c r="D263" t="s">
        <v>815</v>
      </c>
      <c r="E263" s="9">
        <v>45875</v>
      </c>
      <c r="F263" s="9">
        <v>46172</v>
      </c>
      <c r="G263">
        <v>600</v>
      </c>
      <c r="H263">
        <v>0</v>
      </c>
      <c r="I263" t="s">
        <v>348</v>
      </c>
      <c r="J263" t="s">
        <v>182</v>
      </c>
      <c r="K263" t="s">
        <v>183</v>
      </c>
      <c r="M263" t="b">
        <f>IF(Table7[[#This Row],[expiry_date]]-Table7[[#This Row],[manufacture_date]] &gt;=0, TRUE, FALSE)</f>
        <v>1</v>
      </c>
    </row>
    <row r="264" spans="1:13" hidden="1" x14ac:dyDescent="0.2">
      <c r="A264" t="s">
        <v>816</v>
      </c>
      <c r="B264" t="s">
        <v>36</v>
      </c>
      <c r="C264" t="s">
        <v>168</v>
      </c>
      <c r="D264" t="s">
        <v>817</v>
      </c>
      <c r="E264" s="9">
        <v>46017</v>
      </c>
      <c r="F264" s="9">
        <v>46078</v>
      </c>
      <c r="G264">
        <v>960</v>
      </c>
      <c r="H264">
        <v>74</v>
      </c>
      <c r="I264" t="s">
        <v>284</v>
      </c>
      <c r="J264" t="s">
        <v>182</v>
      </c>
      <c r="K264" t="s">
        <v>183</v>
      </c>
      <c r="M264" t="b">
        <f>IF(Table7[[#This Row],[expiry_date]]-Table7[[#This Row],[manufacture_date]] &gt;=0, TRUE, FALSE)</f>
        <v>1</v>
      </c>
    </row>
    <row r="265" spans="1:13" hidden="1" x14ac:dyDescent="0.2">
      <c r="A265" t="s">
        <v>818</v>
      </c>
      <c r="B265" t="s">
        <v>82</v>
      </c>
      <c r="C265" t="s">
        <v>154</v>
      </c>
      <c r="D265" t="s">
        <v>730</v>
      </c>
      <c r="E265" s="9">
        <v>46043</v>
      </c>
      <c r="F265" s="9">
        <v>46384</v>
      </c>
      <c r="G265">
        <v>600</v>
      </c>
      <c r="H265">
        <v>74</v>
      </c>
      <c r="I265" t="s">
        <v>425</v>
      </c>
      <c r="J265" t="s">
        <v>182</v>
      </c>
      <c r="K265" t="s">
        <v>183</v>
      </c>
      <c r="M265" t="b">
        <f>IF(Table7[[#This Row],[expiry_date]]-Table7[[#This Row],[manufacture_date]] &gt;=0, TRUE, FALSE)</f>
        <v>1</v>
      </c>
    </row>
    <row r="266" spans="1:13" x14ac:dyDescent="0.2">
      <c r="A266" t="s">
        <v>819</v>
      </c>
      <c r="B266" t="s">
        <v>22</v>
      </c>
      <c r="C266" t="s">
        <v>138</v>
      </c>
      <c r="D266" t="s">
        <v>820</v>
      </c>
      <c r="E266" s="9">
        <v>46156</v>
      </c>
      <c r="F266" s="9">
        <v>46226</v>
      </c>
      <c r="G266">
        <v>120</v>
      </c>
      <c r="H266">
        <v>14</v>
      </c>
      <c r="I266" t="s">
        <v>309</v>
      </c>
      <c r="J266" t="s">
        <v>182</v>
      </c>
      <c r="K266" t="s">
        <v>183</v>
      </c>
      <c r="M266" t="b">
        <f>IF(Table7[[#This Row],[expiry_date]]-Table7[[#This Row],[manufacture_date]] &gt;=0, TRUE, FALSE)</f>
        <v>1</v>
      </c>
    </row>
    <row r="267" spans="1:13" hidden="1" x14ac:dyDescent="0.2">
      <c r="A267" t="s">
        <v>821</v>
      </c>
      <c r="B267" t="s">
        <v>108</v>
      </c>
      <c r="C267" t="s">
        <v>152</v>
      </c>
      <c r="D267" t="s">
        <v>822</v>
      </c>
      <c r="E267" s="9">
        <v>45907</v>
      </c>
      <c r="F267" s="9">
        <v>46271</v>
      </c>
      <c r="G267">
        <v>240</v>
      </c>
      <c r="H267">
        <v>0</v>
      </c>
      <c r="I267" t="s">
        <v>442</v>
      </c>
      <c r="K267" t="s">
        <v>183</v>
      </c>
      <c r="M267" t="b">
        <f>IF(Table7[[#This Row],[expiry_date]]-Table7[[#This Row],[manufacture_date]] &gt;=0, TRUE, FALSE)</f>
        <v>1</v>
      </c>
    </row>
    <row r="268" spans="1:13" hidden="1" x14ac:dyDescent="0.2">
      <c r="A268" t="s">
        <v>823</v>
      </c>
      <c r="B268" t="s">
        <v>40</v>
      </c>
      <c r="C268" t="s">
        <v>154</v>
      </c>
      <c r="D268" t="s">
        <v>824</v>
      </c>
      <c r="E268" s="9">
        <v>46139</v>
      </c>
      <c r="F268" s="9">
        <v>46214</v>
      </c>
      <c r="G268">
        <v>960</v>
      </c>
      <c r="H268">
        <v>660</v>
      </c>
      <c r="I268" t="s">
        <v>524</v>
      </c>
      <c r="J268" t="s">
        <v>182</v>
      </c>
      <c r="K268" t="s">
        <v>183</v>
      </c>
      <c r="M268" t="b">
        <f>IF(Table7[[#This Row],[expiry_date]]-Table7[[#This Row],[manufacture_date]] &gt;=0, TRUE, FALSE)</f>
        <v>1</v>
      </c>
    </row>
    <row r="269" spans="1:13" hidden="1" x14ac:dyDescent="0.2">
      <c r="A269" t="s">
        <v>825</v>
      </c>
      <c r="B269" t="s">
        <v>8</v>
      </c>
      <c r="C269" t="s">
        <v>156</v>
      </c>
      <c r="D269" t="s">
        <v>826</v>
      </c>
      <c r="E269" s="9">
        <v>45811</v>
      </c>
      <c r="F269" s="9">
        <v>45868</v>
      </c>
      <c r="G269">
        <v>360</v>
      </c>
      <c r="H269">
        <v>0</v>
      </c>
      <c r="I269" t="s">
        <v>419</v>
      </c>
      <c r="J269" t="s">
        <v>182</v>
      </c>
      <c r="K269" t="s">
        <v>183</v>
      </c>
      <c r="M269" t="b">
        <f>IF(Table7[[#This Row],[expiry_date]]-Table7[[#This Row],[manufacture_date]] &gt;=0, TRUE, FALSE)</f>
        <v>1</v>
      </c>
    </row>
    <row r="270" spans="1:13" hidden="1" x14ac:dyDescent="0.2">
      <c r="A270" t="s">
        <v>827</v>
      </c>
      <c r="B270" t="s">
        <v>74</v>
      </c>
      <c r="C270" t="s">
        <v>147</v>
      </c>
      <c r="D270" t="s">
        <v>828</v>
      </c>
      <c r="E270" s="9">
        <v>45957</v>
      </c>
      <c r="F270" s="9">
        <v>46295</v>
      </c>
      <c r="G270">
        <v>960</v>
      </c>
      <c r="H270">
        <v>0</v>
      </c>
      <c r="I270" t="s">
        <v>671</v>
      </c>
      <c r="J270" t="s">
        <v>182</v>
      </c>
      <c r="K270" t="s">
        <v>183</v>
      </c>
      <c r="M270" t="b">
        <f>IF(Table7[[#This Row],[expiry_date]]-Table7[[#This Row],[manufacture_date]] &gt;=0, TRUE, FALSE)</f>
        <v>1</v>
      </c>
    </row>
    <row r="271" spans="1:13" hidden="1" x14ac:dyDescent="0.2">
      <c r="A271" t="s">
        <v>829</v>
      </c>
      <c r="B271" t="s">
        <v>54</v>
      </c>
      <c r="C271" t="s">
        <v>156</v>
      </c>
      <c r="D271" t="s">
        <v>830</v>
      </c>
      <c r="E271" s="9">
        <v>45742</v>
      </c>
      <c r="F271" s="9">
        <v>45938</v>
      </c>
      <c r="G271">
        <v>240</v>
      </c>
      <c r="H271">
        <v>0</v>
      </c>
      <c r="I271" t="s">
        <v>457</v>
      </c>
      <c r="K271" t="s">
        <v>183</v>
      </c>
      <c r="M271" t="b">
        <f>IF(Table7[[#This Row],[expiry_date]]-Table7[[#This Row],[manufacture_date]] &gt;=0, TRUE, FALSE)</f>
        <v>1</v>
      </c>
    </row>
    <row r="272" spans="1:13" hidden="1" x14ac:dyDescent="0.2">
      <c r="A272" t="s">
        <v>831</v>
      </c>
      <c r="B272" t="s">
        <v>33</v>
      </c>
      <c r="C272" t="s">
        <v>147</v>
      </c>
      <c r="D272" t="s">
        <v>832</v>
      </c>
      <c r="E272" s="9">
        <v>45680</v>
      </c>
      <c r="F272" s="9">
        <v>45729</v>
      </c>
      <c r="G272">
        <v>120</v>
      </c>
      <c r="H272">
        <v>0</v>
      </c>
      <c r="I272" t="s">
        <v>548</v>
      </c>
      <c r="J272" t="s">
        <v>182</v>
      </c>
      <c r="K272" t="s">
        <v>187</v>
      </c>
      <c r="M272" t="b">
        <f>IF(Table7[[#This Row],[expiry_date]]-Table7[[#This Row],[manufacture_date]] &gt;=0, TRUE, FALSE)</f>
        <v>1</v>
      </c>
    </row>
    <row r="273" spans="1:13" hidden="1" x14ac:dyDescent="0.2">
      <c r="A273" t="s">
        <v>833</v>
      </c>
      <c r="B273" t="s">
        <v>36</v>
      </c>
      <c r="C273" t="s">
        <v>147</v>
      </c>
      <c r="D273" t="s">
        <v>221</v>
      </c>
      <c r="E273" s="9">
        <v>46243</v>
      </c>
      <c r="F273" s="9">
        <v>46303</v>
      </c>
      <c r="G273">
        <v>120</v>
      </c>
      <c r="H273">
        <v>114</v>
      </c>
      <c r="I273" t="s">
        <v>834</v>
      </c>
      <c r="J273" t="s">
        <v>182</v>
      </c>
      <c r="M273" t="b">
        <f>IF(Table7[[#This Row],[expiry_date]]-Table7[[#This Row],[manufacture_date]] &gt;=0, TRUE, FALSE)</f>
        <v>1</v>
      </c>
    </row>
    <row r="274" spans="1:13" hidden="1" x14ac:dyDescent="0.2">
      <c r="A274" t="s">
        <v>835</v>
      </c>
      <c r="B274" t="s">
        <v>42</v>
      </c>
      <c r="C274" t="s">
        <v>162</v>
      </c>
      <c r="D274" t="s">
        <v>836</v>
      </c>
      <c r="E274" s="9">
        <v>45768</v>
      </c>
      <c r="F274" s="9">
        <v>45836</v>
      </c>
      <c r="G274">
        <v>960</v>
      </c>
      <c r="H274">
        <v>0</v>
      </c>
      <c r="I274" t="s">
        <v>548</v>
      </c>
      <c r="J274" t="s">
        <v>182</v>
      </c>
      <c r="K274" t="s">
        <v>183</v>
      </c>
      <c r="M274" t="b">
        <f>IF(Table7[[#This Row],[expiry_date]]-Table7[[#This Row],[manufacture_date]] &gt;=0, TRUE, FALSE)</f>
        <v>1</v>
      </c>
    </row>
    <row r="275" spans="1:13" x14ac:dyDescent="0.2">
      <c r="A275" t="s">
        <v>837</v>
      </c>
      <c r="B275" t="s">
        <v>69</v>
      </c>
      <c r="C275" t="s">
        <v>138</v>
      </c>
      <c r="D275" t="s">
        <v>838</v>
      </c>
      <c r="E275" s="9">
        <v>45895</v>
      </c>
      <c r="F275" s="9">
        <v>46193</v>
      </c>
      <c r="G275">
        <v>240</v>
      </c>
      <c r="H275">
        <v>0</v>
      </c>
      <c r="I275" t="s">
        <v>400</v>
      </c>
      <c r="J275" t="s">
        <v>182</v>
      </c>
      <c r="K275" t="s">
        <v>183</v>
      </c>
      <c r="M275" t="b">
        <f>IF(Table7[[#This Row],[expiry_date]]-Table7[[#This Row],[manufacture_date]] &gt;=0, TRUE, FALSE)</f>
        <v>1</v>
      </c>
    </row>
    <row r="276" spans="1:13" hidden="1" x14ac:dyDescent="0.2">
      <c r="A276" t="s">
        <v>839</v>
      </c>
      <c r="B276" t="s">
        <v>25</v>
      </c>
      <c r="C276" t="s">
        <v>166</v>
      </c>
      <c r="D276" t="s">
        <v>840</v>
      </c>
      <c r="E276" s="9">
        <v>46227</v>
      </c>
      <c r="F276" s="9">
        <v>46267</v>
      </c>
      <c r="G276">
        <v>960</v>
      </c>
      <c r="H276">
        <v>782</v>
      </c>
      <c r="I276" t="s">
        <v>841</v>
      </c>
      <c r="J276" t="s">
        <v>182</v>
      </c>
      <c r="K276" t="s">
        <v>183</v>
      </c>
      <c r="M276" t="b">
        <f>IF(Table7[[#This Row],[expiry_date]]-Table7[[#This Row],[manufacture_date]] &gt;=0, TRUE, FALSE)</f>
        <v>1</v>
      </c>
    </row>
    <row r="277" spans="1:13" hidden="1" x14ac:dyDescent="0.2">
      <c r="A277" t="s">
        <v>842</v>
      </c>
      <c r="B277" t="s">
        <v>110</v>
      </c>
      <c r="C277" t="s">
        <v>152</v>
      </c>
      <c r="D277" t="s">
        <v>843</v>
      </c>
      <c r="E277" s="9">
        <v>46121</v>
      </c>
      <c r="F277" s="9">
        <v>46458</v>
      </c>
      <c r="G277">
        <v>240</v>
      </c>
      <c r="H277">
        <v>0</v>
      </c>
      <c r="I277" t="s">
        <v>442</v>
      </c>
      <c r="J277" t="s">
        <v>182</v>
      </c>
      <c r="K277" t="s">
        <v>183</v>
      </c>
      <c r="M277" t="b">
        <f>IF(Table7[[#This Row],[expiry_date]]-Table7[[#This Row],[manufacture_date]] &gt;=0, TRUE, FALSE)</f>
        <v>1</v>
      </c>
    </row>
    <row r="278" spans="1:13" hidden="1" x14ac:dyDescent="0.2">
      <c r="A278" t="s">
        <v>844</v>
      </c>
      <c r="B278" t="s">
        <v>63</v>
      </c>
      <c r="C278" t="s">
        <v>145</v>
      </c>
      <c r="D278" t="s">
        <v>845</v>
      </c>
      <c r="E278" s="9">
        <v>45953</v>
      </c>
      <c r="F278" s="9">
        <v>46376</v>
      </c>
      <c r="G278">
        <v>600</v>
      </c>
      <c r="H278">
        <v>0</v>
      </c>
      <c r="I278" t="s">
        <v>674</v>
      </c>
      <c r="J278" t="s">
        <v>182</v>
      </c>
      <c r="K278" t="s">
        <v>183</v>
      </c>
      <c r="M278" t="b">
        <f>IF(Table7[[#This Row],[expiry_date]]-Table7[[#This Row],[manufacture_date]] &gt;=0, TRUE, FALSE)</f>
        <v>1</v>
      </c>
    </row>
    <row r="279" spans="1:13" hidden="1" x14ac:dyDescent="0.2">
      <c r="A279" t="s">
        <v>846</v>
      </c>
      <c r="B279" t="s">
        <v>69</v>
      </c>
      <c r="C279" t="s">
        <v>158</v>
      </c>
      <c r="D279" t="s">
        <v>847</v>
      </c>
      <c r="E279" s="9">
        <v>45916</v>
      </c>
      <c r="F279" s="9">
        <v>46268</v>
      </c>
      <c r="G279">
        <v>960</v>
      </c>
      <c r="H279">
        <v>0</v>
      </c>
      <c r="I279" t="s">
        <v>848</v>
      </c>
      <c r="J279" t="s">
        <v>182</v>
      </c>
      <c r="K279" t="s">
        <v>183</v>
      </c>
      <c r="M279" t="b">
        <f>IF(Table7[[#This Row],[expiry_date]]-Table7[[#This Row],[manufacture_date]] &gt;=0, TRUE, FALSE)</f>
        <v>1</v>
      </c>
    </row>
    <row r="280" spans="1:13" hidden="1" x14ac:dyDescent="0.2">
      <c r="A280" t="s">
        <v>849</v>
      </c>
      <c r="B280" t="s">
        <v>93</v>
      </c>
      <c r="C280" t="s">
        <v>147</v>
      </c>
      <c r="D280" t="s">
        <v>850</v>
      </c>
      <c r="E280" s="9">
        <v>45716</v>
      </c>
      <c r="F280" s="9">
        <v>46079</v>
      </c>
      <c r="G280">
        <v>240</v>
      </c>
      <c r="H280">
        <v>0</v>
      </c>
      <c r="I280" t="s">
        <v>193</v>
      </c>
      <c r="J280" t="s">
        <v>182</v>
      </c>
      <c r="K280" t="s">
        <v>183</v>
      </c>
      <c r="M280" t="b">
        <f>IF(Table7[[#This Row],[expiry_date]]-Table7[[#This Row],[manufacture_date]] &gt;=0, TRUE, FALSE)</f>
        <v>1</v>
      </c>
    </row>
    <row r="281" spans="1:13" hidden="1" x14ac:dyDescent="0.2">
      <c r="A281" t="s">
        <v>851</v>
      </c>
      <c r="B281" t="s">
        <v>19</v>
      </c>
      <c r="C281" t="s">
        <v>142</v>
      </c>
      <c r="D281" t="s">
        <v>852</v>
      </c>
      <c r="E281" s="9">
        <v>45744</v>
      </c>
      <c r="F281" s="9">
        <v>45779</v>
      </c>
      <c r="G281">
        <v>240</v>
      </c>
      <c r="H281">
        <v>0</v>
      </c>
      <c r="I281" t="s">
        <v>293</v>
      </c>
      <c r="J281" t="s">
        <v>182</v>
      </c>
      <c r="K281" t="s">
        <v>183</v>
      </c>
      <c r="M281" t="b">
        <f>IF(Table7[[#This Row],[expiry_date]]-Table7[[#This Row],[manufacture_date]] &gt;=0, TRUE, FALSE)</f>
        <v>1</v>
      </c>
    </row>
    <row r="282" spans="1:13" hidden="1" x14ac:dyDescent="0.2">
      <c r="A282" t="s">
        <v>853</v>
      </c>
      <c r="B282" t="s">
        <v>93</v>
      </c>
      <c r="C282" t="s">
        <v>158</v>
      </c>
      <c r="D282" t="s">
        <v>854</v>
      </c>
      <c r="E282" s="9">
        <v>45850</v>
      </c>
      <c r="F282" s="9">
        <v>46213</v>
      </c>
      <c r="G282">
        <v>360</v>
      </c>
      <c r="H282">
        <v>0</v>
      </c>
      <c r="I282" t="s">
        <v>765</v>
      </c>
      <c r="J282" t="s">
        <v>182</v>
      </c>
      <c r="K282" t="s">
        <v>183</v>
      </c>
      <c r="M282" t="b">
        <f>IF(Table7[[#This Row],[expiry_date]]-Table7[[#This Row],[manufacture_date]] &gt;=0, TRUE, FALSE)</f>
        <v>1</v>
      </c>
    </row>
    <row r="283" spans="1:13" hidden="1" x14ac:dyDescent="0.2">
      <c r="A283" t="s">
        <v>855</v>
      </c>
      <c r="B283" t="s">
        <v>123</v>
      </c>
      <c r="C283" t="s">
        <v>156</v>
      </c>
      <c r="D283" t="s">
        <v>856</v>
      </c>
      <c r="E283" s="9">
        <v>45780</v>
      </c>
      <c r="F283" s="9">
        <v>46126</v>
      </c>
      <c r="G283">
        <v>960</v>
      </c>
      <c r="H283">
        <v>0</v>
      </c>
      <c r="I283" t="s">
        <v>391</v>
      </c>
      <c r="K283" t="s">
        <v>183</v>
      </c>
      <c r="M283" t="b">
        <f>IF(Table7[[#This Row],[expiry_date]]-Table7[[#This Row],[manufacture_date]] &gt;=0, TRUE, FALSE)</f>
        <v>1</v>
      </c>
    </row>
    <row r="284" spans="1:13" hidden="1" x14ac:dyDescent="0.2">
      <c r="A284" t="s">
        <v>857</v>
      </c>
      <c r="B284" t="s">
        <v>67</v>
      </c>
      <c r="C284" t="s">
        <v>164</v>
      </c>
      <c r="D284" t="s">
        <v>858</v>
      </c>
      <c r="E284" s="9">
        <v>46004</v>
      </c>
      <c r="F284" s="9">
        <v>46369</v>
      </c>
      <c r="G284">
        <v>480</v>
      </c>
      <c r="H284">
        <v>21</v>
      </c>
      <c r="I284" t="s">
        <v>859</v>
      </c>
      <c r="K284" t="s">
        <v>183</v>
      </c>
      <c r="M284" t="b">
        <f>IF(Table7[[#This Row],[expiry_date]]-Table7[[#This Row],[manufacture_date]] &gt;=0, TRUE, FALSE)</f>
        <v>1</v>
      </c>
    </row>
    <row r="285" spans="1:13" hidden="1" x14ac:dyDescent="0.2">
      <c r="A285" t="s">
        <v>860</v>
      </c>
      <c r="B285" t="s">
        <v>74</v>
      </c>
      <c r="C285" t="s">
        <v>150</v>
      </c>
      <c r="D285" t="s">
        <v>861</v>
      </c>
      <c r="E285" s="9">
        <v>45986</v>
      </c>
      <c r="F285" s="9">
        <v>46208</v>
      </c>
      <c r="G285">
        <v>600</v>
      </c>
      <c r="H285">
        <v>0</v>
      </c>
      <c r="I285" t="s">
        <v>315</v>
      </c>
      <c r="J285" t="s">
        <v>182</v>
      </c>
      <c r="K285" t="s">
        <v>183</v>
      </c>
      <c r="M285" t="b">
        <f>IF(Table7[[#This Row],[expiry_date]]-Table7[[#This Row],[manufacture_date]] &gt;=0, TRUE, FALSE)</f>
        <v>1</v>
      </c>
    </row>
    <row r="286" spans="1:13" hidden="1" x14ac:dyDescent="0.2">
      <c r="A286" t="s">
        <v>862</v>
      </c>
      <c r="B286" t="s">
        <v>99</v>
      </c>
      <c r="C286" t="s">
        <v>152</v>
      </c>
      <c r="D286" t="s">
        <v>863</v>
      </c>
      <c r="E286" s="9">
        <v>45941</v>
      </c>
      <c r="F286" s="9">
        <v>46208</v>
      </c>
      <c r="G286">
        <v>360</v>
      </c>
      <c r="H286">
        <v>0</v>
      </c>
      <c r="I286" t="s">
        <v>268</v>
      </c>
      <c r="J286" t="s">
        <v>182</v>
      </c>
      <c r="K286" t="s">
        <v>183</v>
      </c>
      <c r="M286" t="b">
        <f>IF(Table7[[#This Row],[expiry_date]]-Table7[[#This Row],[manufacture_date]] &gt;=0, TRUE, FALSE)</f>
        <v>1</v>
      </c>
    </row>
    <row r="287" spans="1:13" hidden="1" x14ac:dyDescent="0.2">
      <c r="A287" t="s">
        <v>864</v>
      </c>
      <c r="B287" t="s">
        <v>88</v>
      </c>
      <c r="C287" t="s">
        <v>166</v>
      </c>
      <c r="D287" t="s">
        <v>865</v>
      </c>
      <c r="E287" s="9">
        <v>45769</v>
      </c>
      <c r="F287" s="9">
        <v>46071</v>
      </c>
      <c r="G287">
        <v>960</v>
      </c>
      <c r="H287">
        <v>0</v>
      </c>
      <c r="I287" t="s">
        <v>521</v>
      </c>
      <c r="J287" t="s">
        <v>269</v>
      </c>
      <c r="K287" t="s">
        <v>183</v>
      </c>
      <c r="M287" t="b">
        <f>IF(Table7[[#This Row],[expiry_date]]-Table7[[#This Row],[manufacture_date]] &gt;=0, TRUE, FALSE)</f>
        <v>1</v>
      </c>
    </row>
    <row r="288" spans="1:13" hidden="1" x14ac:dyDescent="0.2">
      <c r="A288" t="s">
        <v>866</v>
      </c>
      <c r="B288" t="s">
        <v>110</v>
      </c>
      <c r="C288" t="s">
        <v>158</v>
      </c>
      <c r="D288" t="s">
        <v>867</v>
      </c>
      <c r="E288" s="9">
        <v>45683</v>
      </c>
      <c r="F288" s="9">
        <v>45995</v>
      </c>
      <c r="G288">
        <v>960</v>
      </c>
      <c r="H288">
        <v>0</v>
      </c>
      <c r="I288" t="s">
        <v>268</v>
      </c>
      <c r="J288" t="s">
        <v>182</v>
      </c>
      <c r="K288" t="s">
        <v>183</v>
      </c>
      <c r="M288" t="b">
        <f>IF(Table7[[#This Row],[expiry_date]]-Table7[[#This Row],[manufacture_date]] &gt;=0, TRUE, FALSE)</f>
        <v>1</v>
      </c>
    </row>
    <row r="289" spans="1:13" hidden="1" x14ac:dyDescent="0.2">
      <c r="A289" t="s">
        <v>868</v>
      </c>
      <c r="B289" t="s">
        <v>82</v>
      </c>
      <c r="C289" t="s">
        <v>154</v>
      </c>
      <c r="D289" t="s">
        <v>869</v>
      </c>
      <c r="E289" s="9">
        <v>46188</v>
      </c>
      <c r="F289" s="9">
        <v>46361</v>
      </c>
      <c r="G289">
        <v>240</v>
      </c>
      <c r="H289">
        <v>151</v>
      </c>
      <c r="I289" t="s">
        <v>312</v>
      </c>
      <c r="J289" t="s">
        <v>182</v>
      </c>
      <c r="K289" t="s">
        <v>183</v>
      </c>
      <c r="M289" t="b">
        <f>IF(Table7[[#This Row],[expiry_date]]-Table7[[#This Row],[manufacture_date]] &gt;=0, TRUE, FALSE)</f>
        <v>1</v>
      </c>
    </row>
    <row r="290" spans="1:13" hidden="1" x14ac:dyDescent="0.2">
      <c r="A290" t="s">
        <v>870</v>
      </c>
      <c r="B290" t="s">
        <v>116</v>
      </c>
      <c r="C290" t="s">
        <v>162</v>
      </c>
      <c r="D290" t="s">
        <v>871</v>
      </c>
      <c r="E290" s="9">
        <v>45948</v>
      </c>
      <c r="F290" s="9">
        <v>46221</v>
      </c>
      <c r="G290">
        <v>600</v>
      </c>
      <c r="H290">
        <v>0</v>
      </c>
      <c r="I290" t="s">
        <v>186</v>
      </c>
      <c r="J290" t="s">
        <v>182</v>
      </c>
      <c r="K290" t="s">
        <v>183</v>
      </c>
      <c r="M290" t="b">
        <f>IF(Table7[[#This Row],[expiry_date]]-Table7[[#This Row],[manufacture_date]] &gt;=0, TRUE, FALSE)</f>
        <v>1</v>
      </c>
    </row>
    <row r="291" spans="1:13" hidden="1" x14ac:dyDescent="0.2">
      <c r="A291" t="s">
        <v>872</v>
      </c>
      <c r="B291" t="s">
        <v>30</v>
      </c>
      <c r="C291" t="s">
        <v>160</v>
      </c>
      <c r="D291" t="s">
        <v>873</v>
      </c>
      <c r="E291" s="9">
        <v>46105</v>
      </c>
      <c r="F291" s="9">
        <v>46163</v>
      </c>
      <c r="G291">
        <v>360</v>
      </c>
      <c r="H291">
        <v>0</v>
      </c>
      <c r="I291" t="s">
        <v>287</v>
      </c>
      <c r="J291" t="s">
        <v>182</v>
      </c>
      <c r="K291" t="s">
        <v>187</v>
      </c>
      <c r="M291" t="b">
        <f>IF(Table7[[#This Row],[expiry_date]]-Table7[[#This Row],[manufacture_date]] &gt;=0, TRUE, FALSE)</f>
        <v>1</v>
      </c>
    </row>
    <row r="292" spans="1:13" x14ac:dyDescent="0.2">
      <c r="A292" t="s">
        <v>874</v>
      </c>
      <c r="B292" t="s">
        <v>42</v>
      </c>
      <c r="C292" t="s">
        <v>138</v>
      </c>
      <c r="D292" t="s">
        <v>875</v>
      </c>
      <c r="E292" s="9">
        <v>45831</v>
      </c>
      <c r="F292" s="9">
        <v>45914</v>
      </c>
      <c r="G292">
        <v>960</v>
      </c>
      <c r="H292">
        <v>0</v>
      </c>
      <c r="I292" t="s">
        <v>422</v>
      </c>
      <c r="J292" t="s">
        <v>182</v>
      </c>
      <c r="K292" t="s">
        <v>183</v>
      </c>
      <c r="M292" t="b">
        <f>IF(Table7[[#This Row],[expiry_date]]-Table7[[#This Row],[manufacture_date]] &gt;=0, TRUE, FALSE)</f>
        <v>1</v>
      </c>
    </row>
    <row r="293" spans="1:13" hidden="1" x14ac:dyDescent="0.2">
      <c r="A293" t="s">
        <v>876</v>
      </c>
      <c r="B293" t="s">
        <v>86</v>
      </c>
      <c r="C293" t="s">
        <v>158</v>
      </c>
      <c r="D293" t="s">
        <v>877</v>
      </c>
      <c r="E293" s="9">
        <v>45891</v>
      </c>
      <c r="F293" s="9">
        <v>46230</v>
      </c>
      <c r="G293">
        <v>600</v>
      </c>
      <c r="H293">
        <v>0</v>
      </c>
      <c r="I293" t="s">
        <v>197</v>
      </c>
      <c r="J293" t="s">
        <v>182</v>
      </c>
      <c r="K293" t="s">
        <v>183</v>
      </c>
      <c r="M293" t="b">
        <f>IF(Table7[[#This Row],[expiry_date]]-Table7[[#This Row],[manufacture_date]] &gt;=0, TRUE, FALSE)</f>
        <v>1</v>
      </c>
    </row>
    <row r="294" spans="1:13" x14ac:dyDescent="0.2">
      <c r="A294" t="s">
        <v>878</v>
      </c>
      <c r="B294" t="s">
        <v>17</v>
      </c>
      <c r="C294" t="s">
        <v>138</v>
      </c>
      <c r="D294" t="s">
        <v>879</v>
      </c>
      <c r="E294" s="9">
        <v>46158</v>
      </c>
      <c r="F294" s="9">
        <v>46211</v>
      </c>
      <c r="G294">
        <v>240</v>
      </c>
      <c r="H294">
        <v>166</v>
      </c>
      <c r="I294" t="s">
        <v>880</v>
      </c>
      <c r="J294" t="s">
        <v>182</v>
      </c>
      <c r="K294" t="s">
        <v>194</v>
      </c>
      <c r="M294" t="b">
        <f>IF(Table7[[#This Row],[expiry_date]]-Table7[[#This Row],[manufacture_date]] &gt;=0, TRUE, FALSE)</f>
        <v>1</v>
      </c>
    </row>
    <row r="295" spans="1:13" hidden="1" x14ac:dyDescent="0.2">
      <c r="A295" t="s">
        <v>881</v>
      </c>
      <c r="B295" t="s">
        <v>71</v>
      </c>
      <c r="C295" t="s">
        <v>156</v>
      </c>
      <c r="D295" t="s">
        <v>882</v>
      </c>
      <c r="E295" s="9">
        <v>45852</v>
      </c>
      <c r="F295" s="9">
        <v>46252</v>
      </c>
      <c r="G295">
        <v>960</v>
      </c>
      <c r="H295">
        <v>0</v>
      </c>
      <c r="I295" t="s">
        <v>738</v>
      </c>
      <c r="J295" t="s">
        <v>231</v>
      </c>
      <c r="K295" t="s">
        <v>183</v>
      </c>
      <c r="M295" t="b">
        <f>IF(Table7[[#This Row],[expiry_date]]-Table7[[#This Row],[manufacture_date]] &gt;=0, TRUE, FALSE)</f>
        <v>1</v>
      </c>
    </row>
    <row r="296" spans="1:13" hidden="1" x14ac:dyDescent="0.2">
      <c r="A296" t="s">
        <v>883</v>
      </c>
      <c r="B296" t="s">
        <v>88</v>
      </c>
      <c r="C296" t="s">
        <v>162</v>
      </c>
      <c r="D296" t="s">
        <v>884</v>
      </c>
      <c r="E296" s="9">
        <v>45832</v>
      </c>
      <c r="F296" s="9">
        <v>45986</v>
      </c>
      <c r="G296">
        <v>360</v>
      </c>
      <c r="H296">
        <v>0</v>
      </c>
      <c r="I296" t="s">
        <v>265</v>
      </c>
      <c r="J296" t="s">
        <v>149</v>
      </c>
      <c r="K296" t="s">
        <v>187</v>
      </c>
      <c r="M296" t="b">
        <f>IF(Table7[[#This Row],[expiry_date]]-Table7[[#This Row],[manufacture_date]] &gt;=0, TRUE, FALSE)</f>
        <v>1</v>
      </c>
    </row>
    <row r="297" spans="1:13" hidden="1" x14ac:dyDescent="0.2">
      <c r="A297" t="s">
        <v>885</v>
      </c>
      <c r="B297" t="s">
        <v>14</v>
      </c>
      <c r="C297" t="s">
        <v>142</v>
      </c>
      <c r="D297" t="s">
        <v>886</v>
      </c>
      <c r="E297" s="9">
        <v>45958</v>
      </c>
      <c r="F297" s="9">
        <v>46007</v>
      </c>
      <c r="G297">
        <v>240</v>
      </c>
      <c r="H297">
        <v>0</v>
      </c>
      <c r="I297" t="s">
        <v>437</v>
      </c>
      <c r="J297" t="s">
        <v>182</v>
      </c>
      <c r="M297" t="b">
        <f>IF(Table7[[#This Row],[expiry_date]]-Table7[[#This Row],[manufacture_date]] &gt;=0, TRUE, FALSE)</f>
        <v>1</v>
      </c>
    </row>
    <row r="298" spans="1:13" hidden="1" x14ac:dyDescent="0.2">
      <c r="A298" t="s">
        <v>887</v>
      </c>
      <c r="B298" t="s">
        <v>103</v>
      </c>
      <c r="C298" t="s">
        <v>162</v>
      </c>
      <c r="D298" t="s">
        <v>888</v>
      </c>
      <c r="E298" s="9">
        <v>45806</v>
      </c>
      <c r="F298" s="9">
        <v>46008</v>
      </c>
      <c r="G298">
        <v>960</v>
      </c>
      <c r="H298">
        <v>0</v>
      </c>
      <c r="I298" t="s">
        <v>214</v>
      </c>
      <c r="J298" t="s">
        <v>182</v>
      </c>
      <c r="K298" t="s">
        <v>183</v>
      </c>
      <c r="M298" t="b">
        <f>IF(Table7[[#This Row],[expiry_date]]-Table7[[#This Row],[manufacture_date]] &gt;=0, TRUE, FALSE)</f>
        <v>1</v>
      </c>
    </row>
    <row r="299" spans="1:13" hidden="1" x14ac:dyDescent="0.2">
      <c r="A299" t="s">
        <v>889</v>
      </c>
      <c r="B299" t="s">
        <v>38</v>
      </c>
      <c r="C299" t="s">
        <v>166</v>
      </c>
      <c r="D299" t="s">
        <v>890</v>
      </c>
      <c r="E299" s="9">
        <v>45793</v>
      </c>
      <c r="F299" s="9">
        <v>45839</v>
      </c>
      <c r="G299">
        <v>360</v>
      </c>
      <c r="H299">
        <v>0</v>
      </c>
      <c r="I299" t="s">
        <v>891</v>
      </c>
      <c r="J299" t="s">
        <v>182</v>
      </c>
      <c r="K299" t="s">
        <v>183</v>
      </c>
      <c r="M299" t="b">
        <f>IF(Table7[[#This Row],[expiry_date]]-Table7[[#This Row],[manufacture_date]] &gt;=0, TRUE, FALSE)</f>
        <v>1</v>
      </c>
    </row>
    <row r="300" spans="1:13" hidden="1" x14ac:dyDescent="0.2">
      <c r="A300" t="s">
        <v>892</v>
      </c>
      <c r="B300" t="s">
        <v>40</v>
      </c>
      <c r="C300" t="s">
        <v>147</v>
      </c>
      <c r="D300" t="s">
        <v>893</v>
      </c>
      <c r="E300" s="9">
        <v>46208</v>
      </c>
      <c r="F300" s="9">
        <v>46282</v>
      </c>
      <c r="G300">
        <v>360</v>
      </c>
      <c r="H300">
        <v>309</v>
      </c>
      <c r="I300" t="s">
        <v>894</v>
      </c>
      <c r="J300" t="s">
        <v>182</v>
      </c>
      <c r="K300" t="s">
        <v>183</v>
      </c>
      <c r="M300" t="b">
        <f>IF(Table7[[#This Row],[expiry_date]]-Table7[[#This Row],[manufacture_date]] &gt;=0, TRUE, FALSE)</f>
        <v>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1"/>
  <sheetViews>
    <sheetView zoomScale="160" workbookViewId="0">
      <selection activeCell="K39" sqref="K39"/>
    </sheetView>
  </sheetViews>
  <sheetFormatPr baseColWidth="10" defaultColWidth="8.83203125" defaultRowHeight="15" x14ac:dyDescent="0.2"/>
  <cols>
    <col min="1" max="1" width="12" bestFit="1" customWidth="1"/>
    <col min="2" max="2" width="23.6640625" bestFit="1" customWidth="1"/>
    <col min="3" max="3" width="14.33203125" bestFit="1" customWidth="1"/>
    <col min="4" max="4" width="12.5" bestFit="1" customWidth="1"/>
    <col min="5" max="5" width="14.6640625" bestFit="1" customWidth="1"/>
    <col min="6" max="6" width="14.5" bestFit="1" customWidth="1"/>
  </cols>
  <sheetData>
    <row r="1" spans="1:6" x14ac:dyDescent="0.2">
      <c r="A1" s="12" t="s">
        <v>895</v>
      </c>
      <c r="B1" s="12" t="s">
        <v>896</v>
      </c>
      <c r="C1" s="12" t="s">
        <v>897</v>
      </c>
      <c r="D1" s="12" t="s">
        <v>898</v>
      </c>
      <c r="E1" s="12" t="s">
        <v>899</v>
      </c>
      <c r="F1" s="12" t="s">
        <v>900</v>
      </c>
    </row>
    <row r="2" spans="1:6" x14ac:dyDescent="0.2">
      <c r="A2" t="s">
        <v>901</v>
      </c>
      <c r="B2" t="s">
        <v>902</v>
      </c>
      <c r="C2" t="s">
        <v>903</v>
      </c>
      <c r="D2" t="s">
        <v>956</v>
      </c>
      <c r="E2" t="s">
        <v>904</v>
      </c>
      <c r="F2" t="s">
        <v>905</v>
      </c>
    </row>
    <row r="3" spans="1:6" x14ac:dyDescent="0.2">
      <c r="A3" t="s">
        <v>906</v>
      </c>
      <c r="B3" t="s">
        <v>907</v>
      </c>
      <c r="C3" t="s">
        <v>908</v>
      </c>
      <c r="D3" t="s">
        <v>938</v>
      </c>
      <c r="E3" t="s">
        <v>909</v>
      </c>
      <c r="F3" t="s">
        <v>13</v>
      </c>
    </row>
    <row r="4" spans="1:6" x14ac:dyDescent="0.2">
      <c r="A4" t="s">
        <v>910</v>
      </c>
      <c r="B4" t="s">
        <v>911</v>
      </c>
      <c r="C4" t="s">
        <v>903</v>
      </c>
      <c r="D4" t="s">
        <v>912</v>
      </c>
      <c r="E4" t="s">
        <v>913</v>
      </c>
      <c r="F4" t="s">
        <v>13</v>
      </c>
    </row>
    <row r="5" spans="1:6" x14ac:dyDescent="0.2">
      <c r="A5" t="s">
        <v>914</v>
      </c>
      <c r="B5" t="s">
        <v>915</v>
      </c>
      <c r="C5" t="s">
        <v>908</v>
      </c>
      <c r="D5" t="s">
        <v>916</v>
      </c>
      <c r="E5" t="s">
        <v>917</v>
      </c>
      <c r="F5" t="s">
        <v>13</v>
      </c>
    </row>
    <row r="6" spans="1:6" x14ac:dyDescent="0.2">
      <c r="A6" t="s">
        <v>918</v>
      </c>
      <c r="B6" t="s">
        <v>919</v>
      </c>
      <c r="C6" t="s">
        <v>920</v>
      </c>
      <c r="D6" t="s">
        <v>912</v>
      </c>
      <c r="E6" t="s">
        <v>921</v>
      </c>
      <c r="F6" t="s">
        <v>13</v>
      </c>
    </row>
    <row r="7" spans="1:6" x14ac:dyDescent="0.2">
      <c r="A7" t="s">
        <v>922</v>
      </c>
      <c r="B7" t="s">
        <v>923</v>
      </c>
      <c r="C7" t="s">
        <v>10</v>
      </c>
      <c r="D7" t="s">
        <v>912</v>
      </c>
      <c r="E7" t="s">
        <v>924</v>
      </c>
      <c r="F7" t="s">
        <v>13</v>
      </c>
    </row>
    <row r="8" spans="1:6" x14ac:dyDescent="0.2">
      <c r="A8" t="s">
        <v>925</v>
      </c>
      <c r="B8" t="s">
        <v>926</v>
      </c>
      <c r="C8" t="s">
        <v>908</v>
      </c>
      <c r="D8" t="s">
        <v>927</v>
      </c>
      <c r="E8" t="s">
        <v>928</v>
      </c>
      <c r="F8" t="s">
        <v>13</v>
      </c>
    </row>
    <row r="9" spans="1:6" x14ac:dyDescent="0.2">
      <c r="A9" t="s">
        <v>929</v>
      </c>
      <c r="B9" t="s">
        <v>930</v>
      </c>
      <c r="C9" t="s">
        <v>10</v>
      </c>
      <c r="D9" t="s">
        <v>912</v>
      </c>
      <c r="E9" t="s">
        <v>931</v>
      </c>
      <c r="F9" t="s">
        <v>13</v>
      </c>
    </row>
    <row r="10" spans="1:6" x14ac:dyDescent="0.2">
      <c r="A10" t="s">
        <v>932</v>
      </c>
      <c r="B10" t="s">
        <v>933</v>
      </c>
      <c r="C10" t="s">
        <v>934</v>
      </c>
      <c r="D10" t="s">
        <v>956</v>
      </c>
      <c r="E10" t="s">
        <v>935</v>
      </c>
      <c r="F10" t="s">
        <v>13</v>
      </c>
    </row>
    <row r="11" spans="1:6" x14ac:dyDescent="0.2">
      <c r="A11" t="s">
        <v>936</v>
      </c>
      <c r="B11" t="s">
        <v>937</v>
      </c>
      <c r="C11" t="s">
        <v>908</v>
      </c>
      <c r="D11" t="s">
        <v>938</v>
      </c>
      <c r="E11" t="s">
        <v>928</v>
      </c>
      <c r="F11" t="s">
        <v>905</v>
      </c>
    </row>
    <row r="12" spans="1:6" x14ac:dyDescent="0.2">
      <c r="A12" t="s">
        <v>939</v>
      </c>
      <c r="B12" t="s">
        <v>940</v>
      </c>
      <c r="C12" t="s">
        <v>908</v>
      </c>
      <c r="D12" t="s">
        <v>916</v>
      </c>
      <c r="E12" t="s">
        <v>941</v>
      </c>
      <c r="F12" t="s">
        <v>13</v>
      </c>
    </row>
    <row r="13" spans="1:6" x14ac:dyDescent="0.2">
      <c r="A13" t="s">
        <v>942</v>
      </c>
      <c r="B13" t="s">
        <v>943</v>
      </c>
      <c r="C13" t="s">
        <v>920</v>
      </c>
      <c r="D13" t="s">
        <v>916</v>
      </c>
      <c r="E13" t="s">
        <v>924</v>
      </c>
      <c r="F13" t="s">
        <v>944</v>
      </c>
    </row>
    <row r="14" spans="1:6" x14ac:dyDescent="0.2">
      <c r="A14" t="s">
        <v>945</v>
      </c>
      <c r="B14" t="s">
        <v>946</v>
      </c>
      <c r="C14" t="s">
        <v>934</v>
      </c>
      <c r="D14" t="s">
        <v>938</v>
      </c>
      <c r="E14" t="s">
        <v>947</v>
      </c>
      <c r="F14" t="s">
        <v>13</v>
      </c>
    </row>
    <row r="15" spans="1:6" x14ac:dyDescent="0.2">
      <c r="A15" t="s">
        <v>948</v>
      </c>
      <c r="B15" t="s">
        <v>949</v>
      </c>
      <c r="C15" t="s">
        <v>934</v>
      </c>
      <c r="D15" t="s">
        <v>938</v>
      </c>
      <c r="E15" t="s">
        <v>950</v>
      </c>
      <c r="F15" t="s">
        <v>13</v>
      </c>
    </row>
    <row r="16" spans="1:6" x14ac:dyDescent="0.2">
      <c r="A16" t="s">
        <v>951</v>
      </c>
      <c r="B16" t="s">
        <v>902</v>
      </c>
      <c r="C16" t="s">
        <v>903</v>
      </c>
      <c r="D16" t="s">
        <v>956</v>
      </c>
      <c r="F16" t="s">
        <v>905</v>
      </c>
    </row>
    <row r="17" spans="1:6" x14ac:dyDescent="0.2">
      <c r="A17" t="s">
        <v>952</v>
      </c>
      <c r="B17" t="s">
        <v>953</v>
      </c>
      <c r="C17" t="s">
        <v>920</v>
      </c>
      <c r="D17" t="s">
        <v>938</v>
      </c>
      <c r="F17" t="s">
        <v>13</v>
      </c>
    </row>
    <row r="18" spans="1:6" x14ac:dyDescent="0.2">
      <c r="A18" t="s">
        <v>954</v>
      </c>
      <c r="B18" t="s">
        <v>955</v>
      </c>
      <c r="C18" t="s">
        <v>920</v>
      </c>
      <c r="D18" t="s">
        <v>956</v>
      </c>
      <c r="E18" t="s">
        <v>957</v>
      </c>
      <c r="F18" t="s">
        <v>13</v>
      </c>
    </row>
    <row r="19" spans="1:6" x14ac:dyDescent="0.2">
      <c r="A19" t="s">
        <v>958</v>
      </c>
      <c r="B19" t="s">
        <v>933</v>
      </c>
      <c r="C19" t="s">
        <v>934</v>
      </c>
      <c r="D19" t="s">
        <v>956</v>
      </c>
      <c r="E19" t="s">
        <v>959</v>
      </c>
      <c r="F19" t="s">
        <v>13</v>
      </c>
    </row>
    <row r="20" spans="1:6" x14ac:dyDescent="0.2">
      <c r="A20" t="s">
        <v>960</v>
      </c>
      <c r="B20" t="s">
        <v>907</v>
      </c>
      <c r="C20" t="s">
        <v>908</v>
      </c>
      <c r="D20" t="s">
        <v>938</v>
      </c>
      <c r="E20" t="s">
        <v>961</v>
      </c>
      <c r="F20" t="s">
        <v>13</v>
      </c>
    </row>
    <row r="21" spans="1:6" x14ac:dyDescent="0.2">
      <c r="A21" t="s">
        <v>962</v>
      </c>
      <c r="B21" t="s">
        <v>963</v>
      </c>
      <c r="C21" t="s">
        <v>934</v>
      </c>
      <c r="D21" t="s">
        <v>956</v>
      </c>
      <c r="E21" t="s">
        <v>964</v>
      </c>
      <c r="F21" t="s">
        <v>13</v>
      </c>
    </row>
    <row r="22" spans="1:6" x14ac:dyDescent="0.2">
      <c r="A22" t="s">
        <v>965</v>
      </c>
      <c r="B22" t="s">
        <v>966</v>
      </c>
      <c r="C22" t="s">
        <v>908</v>
      </c>
      <c r="D22" t="s">
        <v>956</v>
      </c>
      <c r="E22" t="s">
        <v>967</v>
      </c>
      <c r="F22" t="s">
        <v>13</v>
      </c>
    </row>
    <row r="23" spans="1:6" x14ac:dyDescent="0.2">
      <c r="A23" t="s">
        <v>968</v>
      </c>
      <c r="B23" t="s">
        <v>969</v>
      </c>
      <c r="C23" t="s">
        <v>903</v>
      </c>
      <c r="D23" t="s">
        <v>938</v>
      </c>
      <c r="E23" t="s">
        <v>970</v>
      </c>
      <c r="F23" t="s">
        <v>13</v>
      </c>
    </row>
    <row r="24" spans="1:6" x14ac:dyDescent="0.2">
      <c r="A24" t="s">
        <v>971</v>
      </c>
      <c r="B24" t="s">
        <v>972</v>
      </c>
      <c r="C24" t="s">
        <v>908</v>
      </c>
      <c r="D24" t="s">
        <v>956</v>
      </c>
      <c r="E24" t="s">
        <v>967</v>
      </c>
      <c r="F24" t="s">
        <v>13</v>
      </c>
    </row>
    <row r="25" spans="1:6" x14ac:dyDescent="0.2">
      <c r="A25" t="s">
        <v>973</v>
      </c>
      <c r="B25" t="s">
        <v>974</v>
      </c>
      <c r="C25" t="s">
        <v>920</v>
      </c>
      <c r="D25" t="s">
        <v>1079</v>
      </c>
      <c r="E25" t="s">
        <v>975</v>
      </c>
      <c r="F25" t="s">
        <v>13</v>
      </c>
    </row>
    <row r="26" spans="1:6" x14ac:dyDescent="0.2">
      <c r="A26" t="s">
        <v>976</v>
      </c>
      <c r="B26" t="s">
        <v>977</v>
      </c>
      <c r="C26" t="s">
        <v>903</v>
      </c>
      <c r="D26" t="s">
        <v>938</v>
      </c>
      <c r="E26" t="s">
        <v>978</v>
      </c>
      <c r="F26" t="s">
        <v>13</v>
      </c>
    </row>
    <row r="27" spans="1:6" x14ac:dyDescent="0.2">
      <c r="A27" t="s">
        <v>979</v>
      </c>
      <c r="B27" t="s">
        <v>980</v>
      </c>
      <c r="C27" t="s">
        <v>920</v>
      </c>
      <c r="D27" t="s">
        <v>927</v>
      </c>
      <c r="F27" t="s">
        <v>13</v>
      </c>
    </row>
    <row r="28" spans="1:6" x14ac:dyDescent="0.2">
      <c r="A28" t="s">
        <v>981</v>
      </c>
      <c r="B28" t="s">
        <v>982</v>
      </c>
      <c r="C28" t="s">
        <v>934</v>
      </c>
      <c r="D28" t="s">
        <v>916</v>
      </c>
      <c r="E28" t="s">
        <v>913</v>
      </c>
      <c r="F28" t="s">
        <v>13</v>
      </c>
    </row>
    <row r="29" spans="1:6" x14ac:dyDescent="0.2">
      <c r="A29" t="s">
        <v>983</v>
      </c>
      <c r="B29" t="s">
        <v>984</v>
      </c>
      <c r="C29" t="s">
        <v>908</v>
      </c>
      <c r="D29" t="s">
        <v>916</v>
      </c>
      <c r="E29" t="s">
        <v>967</v>
      </c>
      <c r="F29" t="s">
        <v>13</v>
      </c>
    </row>
    <row r="30" spans="1:6" x14ac:dyDescent="0.2">
      <c r="A30" t="s">
        <v>985</v>
      </c>
      <c r="B30" t="s">
        <v>963</v>
      </c>
      <c r="C30" t="s">
        <v>934</v>
      </c>
      <c r="D30" t="s">
        <v>1079</v>
      </c>
      <c r="E30" t="s">
        <v>986</v>
      </c>
      <c r="F30" t="s">
        <v>13</v>
      </c>
    </row>
    <row r="31" spans="1:6" x14ac:dyDescent="0.2">
      <c r="A31" t="s">
        <v>987</v>
      </c>
      <c r="B31" t="s">
        <v>988</v>
      </c>
      <c r="C31" t="s">
        <v>920</v>
      </c>
      <c r="D31" t="s">
        <v>1079</v>
      </c>
      <c r="E31" t="s">
        <v>928</v>
      </c>
      <c r="F31" t="s">
        <v>13</v>
      </c>
    </row>
    <row r="32" spans="1:6" x14ac:dyDescent="0.2">
      <c r="A32" t="s">
        <v>989</v>
      </c>
      <c r="B32" t="s">
        <v>990</v>
      </c>
      <c r="C32" t="s">
        <v>920</v>
      </c>
      <c r="D32" t="s">
        <v>916</v>
      </c>
      <c r="E32" t="s">
        <v>931</v>
      </c>
      <c r="F32" t="s">
        <v>13</v>
      </c>
    </row>
    <row r="33" spans="1:6" x14ac:dyDescent="0.2">
      <c r="A33" t="s">
        <v>991</v>
      </c>
      <c r="B33" t="s">
        <v>992</v>
      </c>
      <c r="C33" t="s">
        <v>10</v>
      </c>
      <c r="D33" t="s">
        <v>956</v>
      </c>
      <c r="E33" t="s">
        <v>913</v>
      </c>
      <c r="F33" t="s">
        <v>13</v>
      </c>
    </row>
    <row r="34" spans="1:6" x14ac:dyDescent="0.2">
      <c r="A34" t="s">
        <v>993</v>
      </c>
      <c r="B34" t="s">
        <v>994</v>
      </c>
      <c r="C34" t="s">
        <v>920</v>
      </c>
      <c r="D34" t="s">
        <v>938</v>
      </c>
      <c r="E34" t="s">
        <v>995</v>
      </c>
      <c r="F34" t="s">
        <v>13</v>
      </c>
    </row>
    <row r="35" spans="1:6" x14ac:dyDescent="0.2">
      <c r="A35" t="s">
        <v>996</v>
      </c>
      <c r="B35" t="s">
        <v>955</v>
      </c>
      <c r="C35" t="s">
        <v>920</v>
      </c>
      <c r="D35" t="s">
        <v>956</v>
      </c>
      <c r="E35" t="s">
        <v>997</v>
      </c>
      <c r="F35" t="s">
        <v>13</v>
      </c>
    </row>
    <row r="36" spans="1:6" x14ac:dyDescent="0.2">
      <c r="A36" t="s">
        <v>998</v>
      </c>
      <c r="B36" t="s">
        <v>999</v>
      </c>
      <c r="C36" t="s">
        <v>10</v>
      </c>
      <c r="D36" t="s">
        <v>938</v>
      </c>
      <c r="E36" t="s">
        <v>1000</v>
      </c>
      <c r="F36" t="s">
        <v>13</v>
      </c>
    </row>
    <row r="37" spans="1:6" x14ac:dyDescent="0.2">
      <c r="A37" t="s">
        <v>1001</v>
      </c>
      <c r="B37" t="s">
        <v>1002</v>
      </c>
      <c r="C37" t="s">
        <v>920</v>
      </c>
      <c r="D37" t="s">
        <v>916</v>
      </c>
      <c r="E37" t="s">
        <v>1003</v>
      </c>
      <c r="F37" t="s">
        <v>13</v>
      </c>
    </row>
    <row r="38" spans="1:6" x14ac:dyDescent="0.2">
      <c r="A38" t="s">
        <v>1004</v>
      </c>
      <c r="B38" t="s">
        <v>974</v>
      </c>
      <c r="C38" t="s">
        <v>920</v>
      </c>
      <c r="D38" t="s">
        <v>927</v>
      </c>
      <c r="E38" t="s">
        <v>1005</v>
      </c>
      <c r="F38" t="s">
        <v>13</v>
      </c>
    </row>
    <row r="39" spans="1:6" x14ac:dyDescent="0.2">
      <c r="A39" t="s">
        <v>1006</v>
      </c>
      <c r="B39" t="s">
        <v>1007</v>
      </c>
      <c r="C39" t="s">
        <v>934</v>
      </c>
      <c r="D39" t="s">
        <v>912</v>
      </c>
      <c r="E39" t="s">
        <v>1008</v>
      </c>
      <c r="F39" t="s">
        <v>13</v>
      </c>
    </row>
    <row r="40" spans="1:6" x14ac:dyDescent="0.2">
      <c r="A40" t="s">
        <v>1009</v>
      </c>
      <c r="B40" t="s">
        <v>974</v>
      </c>
      <c r="C40" t="s">
        <v>920</v>
      </c>
      <c r="D40" t="s">
        <v>912</v>
      </c>
      <c r="E40" t="s">
        <v>1010</v>
      </c>
      <c r="F40" t="s">
        <v>13</v>
      </c>
    </row>
    <row r="41" spans="1:6" x14ac:dyDescent="0.2">
      <c r="A41" t="s">
        <v>1011</v>
      </c>
      <c r="B41" t="s">
        <v>940</v>
      </c>
      <c r="C41" t="s">
        <v>908</v>
      </c>
      <c r="D41" t="s">
        <v>916</v>
      </c>
      <c r="E41" t="s">
        <v>1012</v>
      </c>
      <c r="F41" t="s">
        <v>13</v>
      </c>
    </row>
    <row r="42" spans="1:6" x14ac:dyDescent="0.2">
      <c r="A42" t="s">
        <v>1013</v>
      </c>
      <c r="B42" t="s">
        <v>1014</v>
      </c>
      <c r="C42" t="s">
        <v>908</v>
      </c>
      <c r="D42" t="s">
        <v>956</v>
      </c>
      <c r="E42" t="s">
        <v>1015</v>
      </c>
      <c r="F42" t="s">
        <v>13</v>
      </c>
    </row>
    <row r="43" spans="1:6" x14ac:dyDescent="0.2">
      <c r="A43" t="s">
        <v>1016</v>
      </c>
      <c r="B43" t="s">
        <v>1002</v>
      </c>
      <c r="C43" t="s">
        <v>920</v>
      </c>
      <c r="D43" t="s">
        <v>912</v>
      </c>
      <c r="E43" t="s">
        <v>1017</v>
      </c>
      <c r="F43" t="s">
        <v>13</v>
      </c>
    </row>
    <row r="44" spans="1:6" x14ac:dyDescent="0.2">
      <c r="A44" t="s">
        <v>1018</v>
      </c>
      <c r="B44" t="s">
        <v>1019</v>
      </c>
      <c r="C44" t="s">
        <v>920</v>
      </c>
      <c r="D44" t="s">
        <v>916</v>
      </c>
      <c r="E44" t="s">
        <v>1020</v>
      </c>
      <c r="F44" t="s">
        <v>13</v>
      </c>
    </row>
    <row r="45" spans="1:6" x14ac:dyDescent="0.2">
      <c r="A45" t="s">
        <v>1021</v>
      </c>
      <c r="B45" t="s">
        <v>1022</v>
      </c>
      <c r="C45" t="s">
        <v>903</v>
      </c>
      <c r="D45" t="s">
        <v>916</v>
      </c>
      <c r="E45" t="s">
        <v>1023</v>
      </c>
      <c r="F45" t="s">
        <v>944</v>
      </c>
    </row>
    <row r="46" spans="1:6" x14ac:dyDescent="0.2">
      <c r="A46" t="s">
        <v>1024</v>
      </c>
      <c r="B46" t="s">
        <v>1025</v>
      </c>
      <c r="C46" t="s">
        <v>908</v>
      </c>
      <c r="D46" t="s">
        <v>938</v>
      </c>
      <c r="E46" t="s">
        <v>1026</v>
      </c>
      <c r="F46" t="s">
        <v>13</v>
      </c>
    </row>
    <row r="47" spans="1:6" x14ac:dyDescent="0.2">
      <c r="A47" t="s">
        <v>1027</v>
      </c>
      <c r="B47" t="s">
        <v>1028</v>
      </c>
      <c r="C47" t="s">
        <v>10</v>
      </c>
      <c r="D47" t="s">
        <v>916</v>
      </c>
      <c r="E47" t="s">
        <v>1000</v>
      </c>
      <c r="F47" t="s">
        <v>13</v>
      </c>
    </row>
    <row r="48" spans="1:6" x14ac:dyDescent="0.2">
      <c r="A48" t="s">
        <v>1029</v>
      </c>
      <c r="B48" t="s">
        <v>943</v>
      </c>
      <c r="C48" t="s">
        <v>920</v>
      </c>
      <c r="D48" t="s">
        <v>938</v>
      </c>
      <c r="E48" t="s">
        <v>1030</v>
      </c>
      <c r="F48" t="s">
        <v>13</v>
      </c>
    </row>
    <row r="49" spans="1:6" x14ac:dyDescent="0.2">
      <c r="A49" t="s">
        <v>1031</v>
      </c>
      <c r="B49" t="s">
        <v>1032</v>
      </c>
      <c r="C49" t="s">
        <v>934</v>
      </c>
      <c r="D49" t="s">
        <v>956</v>
      </c>
      <c r="E49" t="s">
        <v>1033</v>
      </c>
      <c r="F49" t="s">
        <v>13</v>
      </c>
    </row>
    <row r="50" spans="1:6" x14ac:dyDescent="0.2">
      <c r="A50" t="s">
        <v>1034</v>
      </c>
      <c r="B50" t="s">
        <v>1035</v>
      </c>
      <c r="C50" t="s">
        <v>903</v>
      </c>
      <c r="D50" t="s">
        <v>938</v>
      </c>
      <c r="E50" t="s">
        <v>1036</v>
      </c>
      <c r="F50" t="s">
        <v>13</v>
      </c>
    </row>
    <row r="51" spans="1:6" x14ac:dyDescent="0.2">
      <c r="A51" t="s">
        <v>1037</v>
      </c>
      <c r="B51" t="s">
        <v>1038</v>
      </c>
      <c r="C51" t="s">
        <v>903</v>
      </c>
      <c r="D51" t="s">
        <v>938</v>
      </c>
      <c r="E51" t="s">
        <v>1039</v>
      </c>
      <c r="F51" t="s">
        <v>13</v>
      </c>
    </row>
    <row r="52" spans="1:6" x14ac:dyDescent="0.2">
      <c r="A52" t="s">
        <v>1040</v>
      </c>
      <c r="B52" t="s">
        <v>943</v>
      </c>
      <c r="C52" t="s">
        <v>920</v>
      </c>
      <c r="D52" t="s">
        <v>916</v>
      </c>
      <c r="E52" t="s">
        <v>1041</v>
      </c>
      <c r="F52" t="s">
        <v>13</v>
      </c>
    </row>
    <row r="53" spans="1:6" x14ac:dyDescent="0.2">
      <c r="A53" t="s">
        <v>1042</v>
      </c>
      <c r="B53" t="s">
        <v>1043</v>
      </c>
      <c r="C53" t="s">
        <v>908</v>
      </c>
      <c r="D53" t="s">
        <v>1079</v>
      </c>
      <c r="E53" t="s">
        <v>1044</v>
      </c>
      <c r="F53" t="s">
        <v>13</v>
      </c>
    </row>
    <row r="54" spans="1:6" x14ac:dyDescent="0.2">
      <c r="A54" t="s">
        <v>1045</v>
      </c>
      <c r="B54" t="s">
        <v>990</v>
      </c>
      <c r="C54" t="s">
        <v>920</v>
      </c>
      <c r="D54" t="s">
        <v>912</v>
      </c>
      <c r="F54" t="s">
        <v>13</v>
      </c>
    </row>
    <row r="55" spans="1:6" x14ac:dyDescent="0.2">
      <c r="A55" t="s">
        <v>1046</v>
      </c>
      <c r="B55" t="s">
        <v>1047</v>
      </c>
      <c r="C55" t="s">
        <v>903</v>
      </c>
      <c r="D55" t="s">
        <v>912</v>
      </c>
      <c r="E55" t="s">
        <v>1033</v>
      </c>
      <c r="F55" t="s">
        <v>13</v>
      </c>
    </row>
    <row r="56" spans="1:6" x14ac:dyDescent="0.2">
      <c r="A56" t="s">
        <v>1048</v>
      </c>
      <c r="B56" t="s">
        <v>933</v>
      </c>
      <c r="C56" t="s">
        <v>934</v>
      </c>
      <c r="D56" t="s">
        <v>912</v>
      </c>
      <c r="E56" t="s">
        <v>1000</v>
      </c>
      <c r="F56" t="s">
        <v>13</v>
      </c>
    </row>
    <row r="57" spans="1:6" x14ac:dyDescent="0.2">
      <c r="A57" t="s">
        <v>1049</v>
      </c>
      <c r="B57" t="s">
        <v>1050</v>
      </c>
      <c r="C57" t="s">
        <v>903</v>
      </c>
      <c r="D57" t="s">
        <v>938</v>
      </c>
      <c r="E57" t="s">
        <v>1051</v>
      </c>
      <c r="F57" t="s">
        <v>944</v>
      </c>
    </row>
    <row r="58" spans="1:6" x14ac:dyDescent="0.2">
      <c r="A58" t="s">
        <v>1052</v>
      </c>
      <c r="B58" t="s">
        <v>1053</v>
      </c>
      <c r="C58" t="s">
        <v>903</v>
      </c>
      <c r="D58" t="s">
        <v>956</v>
      </c>
      <c r="E58" t="s">
        <v>1054</v>
      </c>
      <c r="F58" t="s">
        <v>13</v>
      </c>
    </row>
    <row r="59" spans="1:6" x14ac:dyDescent="0.2">
      <c r="A59" t="s">
        <v>1055</v>
      </c>
      <c r="B59" t="s">
        <v>1053</v>
      </c>
      <c r="C59" t="s">
        <v>903</v>
      </c>
      <c r="D59" t="s">
        <v>938</v>
      </c>
      <c r="E59" t="s">
        <v>1010</v>
      </c>
      <c r="F59" t="s">
        <v>13</v>
      </c>
    </row>
    <row r="60" spans="1:6" x14ac:dyDescent="0.2">
      <c r="A60" t="s">
        <v>1056</v>
      </c>
      <c r="B60" t="s">
        <v>1057</v>
      </c>
      <c r="C60" t="s">
        <v>908</v>
      </c>
      <c r="D60" t="s">
        <v>912</v>
      </c>
      <c r="E60" t="s">
        <v>1058</v>
      </c>
      <c r="F60" t="s">
        <v>13</v>
      </c>
    </row>
    <row r="61" spans="1:6" x14ac:dyDescent="0.2">
      <c r="A61" t="s">
        <v>1059</v>
      </c>
      <c r="B61" t="s">
        <v>902</v>
      </c>
      <c r="C61" t="s">
        <v>903</v>
      </c>
      <c r="D61" t="s">
        <v>956</v>
      </c>
      <c r="E61" t="s">
        <v>1054</v>
      </c>
      <c r="F61" t="s">
        <v>13</v>
      </c>
    </row>
    <row r="62" spans="1:6" x14ac:dyDescent="0.2">
      <c r="A62" t="s">
        <v>1060</v>
      </c>
      <c r="B62" t="s">
        <v>982</v>
      </c>
      <c r="C62" t="s">
        <v>934</v>
      </c>
      <c r="D62" t="s">
        <v>956</v>
      </c>
      <c r="E62" t="s">
        <v>921</v>
      </c>
      <c r="F62" t="s">
        <v>13</v>
      </c>
    </row>
    <row r="63" spans="1:6" x14ac:dyDescent="0.2">
      <c r="A63" t="s">
        <v>1061</v>
      </c>
      <c r="B63" t="s">
        <v>1062</v>
      </c>
      <c r="C63" t="s">
        <v>10</v>
      </c>
      <c r="D63" t="s">
        <v>912</v>
      </c>
      <c r="E63" t="s">
        <v>1063</v>
      </c>
      <c r="F63" t="s">
        <v>13</v>
      </c>
    </row>
    <row r="64" spans="1:6" x14ac:dyDescent="0.2">
      <c r="A64" t="s">
        <v>1064</v>
      </c>
      <c r="B64" t="s">
        <v>1065</v>
      </c>
      <c r="C64" t="s">
        <v>920</v>
      </c>
      <c r="D64" t="s">
        <v>1079</v>
      </c>
      <c r="E64" t="s">
        <v>1066</v>
      </c>
      <c r="F64" t="s">
        <v>13</v>
      </c>
    </row>
    <row r="65" spans="1:6" x14ac:dyDescent="0.2">
      <c r="A65" t="s">
        <v>1067</v>
      </c>
      <c r="B65" t="s">
        <v>1065</v>
      </c>
      <c r="C65" t="s">
        <v>920</v>
      </c>
      <c r="D65" t="s">
        <v>956</v>
      </c>
      <c r="E65" t="s">
        <v>1068</v>
      </c>
      <c r="F65" t="s">
        <v>13</v>
      </c>
    </row>
    <row r="66" spans="1:6" x14ac:dyDescent="0.2">
      <c r="A66" t="s">
        <v>1069</v>
      </c>
      <c r="B66" t="s">
        <v>1070</v>
      </c>
      <c r="C66" t="s">
        <v>920</v>
      </c>
      <c r="D66" t="s">
        <v>956</v>
      </c>
      <c r="E66" t="s">
        <v>1071</v>
      </c>
      <c r="F66" t="s">
        <v>13</v>
      </c>
    </row>
    <row r="67" spans="1:6" x14ac:dyDescent="0.2">
      <c r="A67" t="s">
        <v>1072</v>
      </c>
      <c r="B67" t="s">
        <v>1073</v>
      </c>
      <c r="C67" t="s">
        <v>920</v>
      </c>
      <c r="D67" t="s">
        <v>956</v>
      </c>
      <c r="E67" t="s">
        <v>961</v>
      </c>
      <c r="F67" t="s">
        <v>13</v>
      </c>
    </row>
    <row r="68" spans="1:6" x14ac:dyDescent="0.2">
      <c r="A68" t="s">
        <v>1074</v>
      </c>
      <c r="B68" t="s">
        <v>988</v>
      </c>
      <c r="C68" t="s">
        <v>920</v>
      </c>
      <c r="D68" t="s">
        <v>916</v>
      </c>
      <c r="E68" t="s">
        <v>1075</v>
      </c>
      <c r="F68" t="s">
        <v>13</v>
      </c>
    </row>
    <row r="69" spans="1:6" x14ac:dyDescent="0.2">
      <c r="A69" t="s">
        <v>1076</v>
      </c>
      <c r="B69" t="s">
        <v>969</v>
      </c>
      <c r="C69" t="s">
        <v>903</v>
      </c>
      <c r="D69" t="s">
        <v>927</v>
      </c>
      <c r="E69" t="s">
        <v>1044</v>
      </c>
      <c r="F69" t="s">
        <v>13</v>
      </c>
    </row>
    <row r="70" spans="1:6" x14ac:dyDescent="0.2">
      <c r="A70" t="s">
        <v>1077</v>
      </c>
      <c r="B70" t="s">
        <v>1078</v>
      </c>
      <c r="C70" t="s">
        <v>10</v>
      </c>
      <c r="D70" t="s">
        <v>1079</v>
      </c>
      <c r="F70" t="s">
        <v>13</v>
      </c>
    </row>
    <row r="71" spans="1:6" x14ac:dyDescent="0.2">
      <c r="A71" t="s">
        <v>1080</v>
      </c>
      <c r="B71" t="s">
        <v>1081</v>
      </c>
      <c r="C71" t="s">
        <v>10</v>
      </c>
      <c r="D71" t="s">
        <v>916</v>
      </c>
      <c r="E71" t="s">
        <v>1010</v>
      </c>
      <c r="F71" t="s">
        <v>13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00"/>
  <sheetViews>
    <sheetView zoomScale="169" workbookViewId="0">
      <selection activeCell="I1832" sqref="I1832"/>
    </sheetView>
  </sheetViews>
  <sheetFormatPr baseColWidth="10" defaultColWidth="8.83203125" defaultRowHeight="15" x14ac:dyDescent="0.2"/>
  <cols>
    <col min="1" max="1" width="12.83203125" bestFit="1" customWidth="1"/>
    <col min="2" max="2" width="15.83203125" bestFit="1" customWidth="1"/>
    <col min="3" max="3" width="14.83203125" bestFit="1" customWidth="1"/>
    <col min="4" max="4" width="17" bestFit="1" customWidth="1"/>
    <col min="5" max="5" width="14.6640625" bestFit="1" customWidth="1"/>
    <col min="6" max="6" width="12.83203125" bestFit="1" customWidth="1"/>
    <col min="7" max="7" width="16.6640625" bestFit="1" customWidth="1"/>
    <col min="8" max="8" width="14.83203125" bestFit="1" customWidth="1"/>
    <col min="9" max="9" width="18.33203125" bestFit="1" customWidth="1"/>
    <col min="10" max="10" width="38" bestFit="1" customWidth="1"/>
  </cols>
  <sheetData>
    <row r="1" spans="1:11" x14ac:dyDescent="0.2">
      <c r="A1" s="12" t="s">
        <v>1082</v>
      </c>
      <c r="B1" s="12" t="s">
        <v>895</v>
      </c>
      <c r="C1" s="13" t="s">
        <v>1083</v>
      </c>
      <c r="D1" s="13" t="s">
        <v>1084</v>
      </c>
      <c r="E1" s="12" t="s">
        <v>0</v>
      </c>
      <c r="F1" s="12" t="s">
        <v>170</v>
      </c>
      <c r="G1" s="12" t="s">
        <v>1085</v>
      </c>
      <c r="H1" s="12" t="s">
        <v>1086</v>
      </c>
      <c r="I1" s="12" t="s">
        <v>1087</v>
      </c>
      <c r="J1" s="12" t="s">
        <v>3127</v>
      </c>
      <c r="K1" s="12" t="s">
        <v>3132</v>
      </c>
    </row>
    <row r="2" spans="1:11" x14ac:dyDescent="0.2">
      <c r="A2" t="s">
        <v>1728</v>
      </c>
      <c r="B2" t="s">
        <v>1055</v>
      </c>
      <c r="C2" s="9">
        <v>45689</v>
      </c>
      <c r="D2" s="9">
        <v>45689</v>
      </c>
      <c r="E2" t="s">
        <v>114</v>
      </c>
      <c r="F2" t="s">
        <v>706</v>
      </c>
      <c r="G2">
        <v>24</v>
      </c>
      <c r="H2">
        <v>112.86</v>
      </c>
      <c r="I2" t="s">
        <v>938</v>
      </c>
      <c r="K2" t="b">
        <f>IF(Table1[[#This Row],[dispatch_date]]-Table1[[#This Row],[order_date]] &gt;=0, TRUE, FALSE)</f>
        <v>1</v>
      </c>
    </row>
    <row r="3" spans="1:11" x14ac:dyDescent="0.2">
      <c r="A3" t="s">
        <v>2262</v>
      </c>
      <c r="B3" t="s">
        <v>906</v>
      </c>
      <c r="C3" s="9">
        <v>45689</v>
      </c>
      <c r="D3" s="9">
        <v>45689</v>
      </c>
      <c r="E3" t="s">
        <v>48</v>
      </c>
      <c r="F3" t="s">
        <v>624</v>
      </c>
      <c r="G3">
        <v>24</v>
      </c>
      <c r="H3">
        <v>161.76</v>
      </c>
      <c r="I3" t="s">
        <v>938</v>
      </c>
      <c r="K3" t="b">
        <f>IF(Table1[[#This Row],[dispatch_date]]-Table1[[#This Row],[order_date]] &gt;=0, TRUE, FALSE)</f>
        <v>1</v>
      </c>
    </row>
    <row r="4" spans="1:11" x14ac:dyDescent="0.2">
      <c r="A4" t="s">
        <v>2416</v>
      </c>
      <c r="B4" t="s">
        <v>1049</v>
      </c>
      <c r="C4" s="9">
        <v>45689</v>
      </c>
      <c r="D4" s="9">
        <v>45691</v>
      </c>
      <c r="E4" t="s">
        <v>127</v>
      </c>
      <c r="F4" t="s">
        <v>483</v>
      </c>
      <c r="G4">
        <v>6</v>
      </c>
      <c r="H4">
        <v>24.6</v>
      </c>
      <c r="I4" t="s">
        <v>938</v>
      </c>
      <c r="K4" t="b">
        <f>IF(Table1[[#This Row],[dispatch_date]]-Table1[[#This Row],[order_date]] &gt;=0, TRUE, FALSE)</f>
        <v>1</v>
      </c>
    </row>
    <row r="5" spans="1:11" x14ac:dyDescent="0.2">
      <c r="A5" t="s">
        <v>1792</v>
      </c>
      <c r="B5" t="s">
        <v>922</v>
      </c>
      <c r="C5" s="9">
        <v>45748</v>
      </c>
      <c r="D5" s="9">
        <v>45750</v>
      </c>
      <c r="E5" t="s">
        <v>19</v>
      </c>
      <c r="F5" t="s">
        <v>646</v>
      </c>
      <c r="G5">
        <v>6</v>
      </c>
      <c r="H5">
        <v>11.57</v>
      </c>
      <c r="I5" t="s">
        <v>912</v>
      </c>
      <c r="K5" t="b">
        <f>IF(Table1[[#This Row],[dispatch_date]]-Table1[[#This Row],[order_date]] &gt;=0, TRUE, FALSE)</f>
        <v>1</v>
      </c>
    </row>
    <row r="6" spans="1:11" x14ac:dyDescent="0.2">
      <c r="A6" t="s">
        <v>1468</v>
      </c>
      <c r="B6" t="s">
        <v>1027</v>
      </c>
      <c r="C6" s="9">
        <v>45677</v>
      </c>
      <c r="D6" s="9">
        <v>45677</v>
      </c>
      <c r="E6" t="s">
        <v>80</v>
      </c>
      <c r="F6" t="s">
        <v>352</v>
      </c>
      <c r="G6">
        <v>24</v>
      </c>
      <c r="H6">
        <v>142.80000000000001</v>
      </c>
      <c r="I6" t="s">
        <v>916</v>
      </c>
      <c r="K6" t="b">
        <f>IF(Table1[[#This Row],[dispatch_date]]-Table1[[#This Row],[order_date]] &gt;=0, TRUE, FALSE)</f>
        <v>1</v>
      </c>
    </row>
    <row r="7" spans="1:11" x14ac:dyDescent="0.2">
      <c r="A7" t="s">
        <v>2662</v>
      </c>
      <c r="B7" t="s">
        <v>1077</v>
      </c>
      <c r="C7" s="9">
        <v>45677</v>
      </c>
      <c r="D7" s="9">
        <v>45680</v>
      </c>
      <c r="E7" t="s">
        <v>118</v>
      </c>
      <c r="F7" t="s">
        <v>500</v>
      </c>
      <c r="G7">
        <v>24</v>
      </c>
      <c r="H7">
        <v>299.58999999999997</v>
      </c>
      <c r="I7" t="s">
        <v>1079</v>
      </c>
      <c r="K7" t="b">
        <f>IF(Table1[[#This Row],[dispatch_date]]-Table1[[#This Row],[order_date]] &gt;=0, TRUE, FALSE)</f>
        <v>1</v>
      </c>
    </row>
    <row r="8" spans="1:11" x14ac:dyDescent="0.2">
      <c r="A8" t="s">
        <v>2711</v>
      </c>
      <c r="B8" t="s">
        <v>983</v>
      </c>
      <c r="C8" s="9">
        <v>45677</v>
      </c>
      <c r="D8" s="9">
        <v>45679</v>
      </c>
      <c r="E8" t="s">
        <v>44</v>
      </c>
      <c r="F8" t="s">
        <v>324</v>
      </c>
      <c r="G8">
        <v>48</v>
      </c>
      <c r="H8">
        <v>290.39999999999998</v>
      </c>
      <c r="I8" t="s">
        <v>927</v>
      </c>
      <c r="K8" t="b">
        <f>IF(Table1[[#This Row],[dispatch_date]]-Table1[[#This Row],[order_date]] &gt;=0, TRUE, FALSE)</f>
        <v>1</v>
      </c>
    </row>
    <row r="9" spans="1:11" x14ac:dyDescent="0.2">
      <c r="A9" t="s">
        <v>1335</v>
      </c>
      <c r="B9" t="s">
        <v>1034</v>
      </c>
      <c r="C9" s="9">
        <v>45678</v>
      </c>
      <c r="D9" s="9">
        <v>45680</v>
      </c>
      <c r="E9" t="s">
        <v>63</v>
      </c>
      <c r="F9" t="s">
        <v>718</v>
      </c>
      <c r="G9">
        <v>6</v>
      </c>
      <c r="H9">
        <v>55.86</v>
      </c>
      <c r="I9" t="s">
        <v>938</v>
      </c>
      <c r="K9" t="b">
        <f>IF(Table1[[#This Row],[dispatch_date]]-Table1[[#This Row],[order_date]] &gt;=0, TRUE, FALSE)</f>
        <v>1</v>
      </c>
    </row>
    <row r="10" spans="1:11" x14ac:dyDescent="0.2">
      <c r="A10" t="s">
        <v>1922</v>
      </c>
      <c r="B10" t="s">
        <v>985</v>
      </c>
      <c r="C10" s="9">
        <v>45678</v>
      </c>
      <c r="D10" s="9">
        <v>45678</v>
      </c>
      <c r="E10" t="s">
        <v>125</v>
      </c>
      <c r="F10" t="s">
        <v>736</v>
      </c>
      <c r="G10">
        <v>48</v>
      </c>
      <c r="H10">
        <v>347.93</v>
      </c>
      <c r="I10" t="s">
        <v>1079</v>
      </c>
      <c r="K10" t="b">
        <f>IF(Table1[[#This Row],[dispatch_date]]-Table1[[#This Row],[order_date]] &gt;=0, TRUE, FALSE)</f>
        <v>1</v>
      </c>
    </row>
    <row r="11" spans="1:11" x14ac:dyDescent="0.2">
      <c r="A11" t="s">
        <v>2057</v>
      </c>
      <c r="B11" t="s">
        <v>1004</v>
      </c>
      <c r="C11" s="9">
        <v>45678</v>
      </c>
      <c r="D11" s="9">
        <v>45681</v>
      </c>
      <c r="E11" t="s">
        <v>48</v>
      </c>
      <c r="F11" t="s">
        <v>198</v>
      </c>
      <c r="G11">
        <v>36</v>
      </c>
      <c r="H11">
        <v>242.64</v>
      </c>
      <c r="I11" t="s">
        <v>938</v>
      </c>
      <c r="K11" t="b">
        <f>IF(Table1[[#This Row],[dispatch_date]]-Table1[[#This Row],[order_date]] &gt;=0, TRUE, FALSE)</f>
        <v>1</v>
      </c>
    </row>
    <row r="12" spans="1:11" x14ac:dyDescent="0.2">
      <c r="A12" t="s">
        <v>2066</v>
      </c>
      <c r="B12" t="s">
        <v>954</v>
      </c>
      <c r="C12" s="9">
        <v>45679</v>
      </c>
      <c r="D12" s="9">
        <v>45680</v>
      </c>
      <c r="E12" t="s">
        <v>90</v>
      </c>
      <c r="F12" t="s">
        <v>727</v>
      </c>
      <c r="G12">
        <v>12</v>
      </c>
      <c r="H12">
        <v>100.8</v>
      </c>
      <c r="I12" t="s">
        <v>956</v>
      </c>
      <c r="K12" t="b">
        <f>IF(Table1[[#This Row],[dispatch_date]]-Table1[[#This Row],[order_date]] &gt;=0, TRUE, FALSE)</f>
        <v>1</v>
      </c>
    </row>
    <row r="13" spans="1:11" x14ac:dyDescent="0.2">
      <c r="A13" t="s">
        <v>2091</v>
      </c>
      <c r="B13" t="s">
        <v>910</v>
      </c>
      <c r="C13" s="9">
        <v>45679</v>
      </c>
      <c r="D13" s="9"/>
      <c r="E13" t="s">
        <v>48</v>
      </c>
      <c r="F13" t="s">
        <v>604</v>
      </c>
      <c r="G13">
        <v>24</v>
      </c>
      <c r="H13">
        <v>161.76</v>
      </c>
      <c r="I13" t="s">
        <v>912</v>
      </c>
      <c r="K13" t="b">
        <f>IF(Table1[[#This Row],[dispatch_date]]-Table1[[#This Row],[order_date]] &gt;=0, TRUE, FALSE)</f>
        <v>0</v>
      </c>
    </row>
    <row r="14" spans="1:11" x14ac:dyDescent="0.2">
      <c r="A14" t="s">
        <v>2349</v>
      </c>
      <c r="B14" t="s">
        <v>1009</v>
      </c>
      <c r="C14" s="9">
        <v>45679</v>
      </c>
      <c r="D14" s="9"/>
      <c r="E14" t="s">
        <v>80</v>
      </c>
      <c r="F14" t="s">
        <v>352</v>
      </c>
      <c r="G14">
        <v>48</v>
      </c>
      <c r="H14">
        <v>285.60000000000002</v>
      </c>
      <c r="I14" t="s">
        <v>916</v>
      </c>
      <c r="K14" t="b">
        <f>IF(Table1[[#This Row],[dispatch_date]]-Table1[[#This Row],[order_date]] &gt;=0, TRUE, FALSE)</f>
        <v>0</v>
      </c>
    </row>
    <row r="15" spans="1:11" x14ac:dyDescent="0.2">
      <c r="A15" t="s">
        <v>1327</v>
      </c>
      <c r="B15" t="s">
        <v>945</v>
      </c>
      <c r="C15" s="9">
        <v>45680</v>
      </c>
      <c r="D15" s="9">
        <v>45683</v>
      </c>
      <c r="E15" t="s">
        <v>65</v>
      </c>
      <c r="F15" t="s">
        <v>807</v>
      </c>
      <c r="G15">
        <v>72</v>
      </c>
      <c r="H15">
        <v>955.44</v>
      </c>
      <c r="I15" t="s">
        <v>938</v>
      </c>
      <c r="K15" t="b">
        <f>IF(Table1[[#This Row],[dispatch_date]]-Table1[[#This Row],[order_date]] &gt;=0, TRUE, FALSE)</f>
        <v>1</v>
      </c>
    </row>
    <row r="16" spans="1:11" x14ac:dyDescent="0.2">
      <c r="A16" t="s">
        <v>1530</v>
      </c>
      <c r="B16" t="s">
        <v>983</v>
      </c>
      <c r="C16" s="9">
        <v>45680</v>
      </c>
      <c r="D16" s="9">
        <v>45683</v>
      </c>
      <c r="E16" t="s">
        <v>121</v>
      </c>
      <c r="F16" t="s">
        <v>498</v>
      </c>
      <c r="G16">
        <v>6</v>
      </c>
      <c r="H16">
        <v>77.040000000000006</v>
      </c>
      <c r="I16" t="s">
        <v>916</v>
      </c>
      <c r="K16" t="b">
        <f>IF(Table1[[#This Row],[dispatch_date]]-Table1[[#This Row],[order_date]] &gt;=0, TRUE, FALSE)</f>
        <v>1</v>
      </c>
    </row>
    <row r="17" spans="1:11" x14ac:dyDescent="0.2">
      <c r="A17" t="s">
        <v>1866</v>
      </c>
      <c r="B17" t="s">
        <v>1067</v>
      </c>
      <c r="C17" s="9">
        <v>45680</v>
      </c>
      <c r="D17" s="9"/>
      <c r="E17" t="s">
        <v>40</v>
      </c>
      <c r="F17" t="s">
        <v>892</v>
      </c>
      <c r="G17">
        <v>6</v>
      </c>
      <c r="H17">
        <v>23.34</v>
      </c>
      <c r="I17" t="s">
        <v>956</v>
      </c>
      <c r="K17" t="b">
        <f>IF(Table1[[#This Row],[dispatch_date]]-Table1[[#This Row],[order_date]] &gt;=0, TRUE, FALSE)</f>
        <v>0</v>
      </c>
    </row>
    <row r="18" spans="1:11" x14ac:dyDescent="0.2">
      <c r="A18" t="s">
        <v>2002</v>
      </c>
      <c r="B18" t="s">
        <v>998</v>
      </c>
      <c r="C18" s="9">
        <v>45680</v>
      </c>
      <c r="D18" s="9">
        <v>45682</v>
      </c>
      <c r="E18" t="s">
        <v>125</v>
      </c>
      <c r="F18" t="s">
        <v>519</v>
      </c>
      <c r="G18">
        <v>12</v>
      </c>
      <c r="H18">
        <v>91.56</v>
      </c>
      <c r="I18" t="s">
        <v>938</v>
      </c>
      <c r="K18" t="b">
        <f>IF(Table1[[#This Row],[dispatch_date]]-Table1[[#This Row],[order_date]] &gt;=0, TRUE, FALSE)</f>
        <v>1</v>
      </c>
    </row>
    <row r="19" spans="1:11" x14ac:dyDescent="0.2">
      <c r="A19" t="s">
        <v>2128</v>
      </c>
      <c r="B19" t="s">
        <v>1059</v>
      </c>
      <c r="C19" s="9">
        <v>45680</v>
      </c>
      <c r="D19" s="9">
        <v>45680</v>
      </c>
      <c r="E19" t="s">
        <v>42</v>
      </c>
      <c r="F19" t="s">
        <v>282</v>
      </c>
      <c r="G19">
        <v>24</v>
      </c>
      <c r="H19">
        <v>78.48</v>
      </c>
      <c r="I19" t="s">
        <v>956</v>
      </c>
      <c r="K19" t="b">
        <f>IF(Table1[[#This Row],[dispatch_date]]-Table1[[#This Row],[order_date]] &gt;=0, TRUE, FALSE)</f>
        <v>1</v>
      </c>
    </row>
    <row r="20" spans="1:11" x14ac:dyDescent="0.2">
      <c r="A20" t="s">
        <v>2479</v>
      </c>
      <c r="B20" t="s">
        <v>989</v>
      </c>
      <c r="C20" s="9">
        <v>45680</v>
      </c>
      <c r="D20" s="9">
        <v>45683</v>
      </c>
      <c r="E20" t="s">
        <v>95</v>
      </c>
      <c r="F20" t="s">
        <v>321</v>
      </c>
      <c r="G20">
        <v>12</v>
      </c>
      <c r="H20">
        <v>47.28</v>
      </c>
      <c r="I20" t="s">
        <v>912</v>
      </c>
      <c r="K20" t="b">
        <f>IF(Table1[[#This Row],[dispatch_date]]-Table1[[#This Row],[order_date]] &gt;=0, TRUE, FALSE)</f>
        <v>1</v>
      </c>
    </row>
    <row r="21" spans="1:11" x14ac:dyDescent="0.2">
      <c r="A21" t="s">
        <v>2656</v>
      </c>
      <c r="B21" t="s">
        <v>1056</v>
      </c>
      <c r="C21" s="9">
        <v>45680</v>
      </c>
      <c r="D21" s="9">
        <v>45682</v>
      </c>
      <c r="E21" t="s">
        <v>127</v>
      </c>
      <c r="F21" t="s">
        <v>258</v>
      </c>
      <c r="G21">
        <v>48</v>
      </c>
      <c r="H21">
        <v>196.8</v>
      </c>
      <c r="I21" t="s">
        <v>912</v>
      </c>
      <c r="K21" t="b">
        <f>IF(Table1[[#This Row],[dispatch_date]]-Table1[[#This Row],[order_date]] &gt;=0, TRUE, FALSE)</f>
        <v>1</v>
      </c>
    </row>
    <row r="22" spans="1:11" x14ac:dyDescent="0.2">
      <c r="A22" t="s">
        <v>2771</v>
      </c>
      <c r="B22" t="s">
        <v>987</v>
      </c>
      <c r="C22" s="9">
        <v>45680</v>
      </c>
      <c r="D22" s="9">
        <v>45681</v>
      </c>
      <c r="E22" t="s">
        <v>116</v>
      </c>
      <c r="F22" t="s">
        <v>870</v>
      </c>
      <c r="G22">
        <v>36</v>
      </c>
      <c r="H22">
        <v>174.24</v>
      </c>
      <c r="I22" t="s">
        <v>1079</v>
      </c>
      <c r="K22" t="b">
        <f>IF(Table1[[#This Row],[dispatch_date]]-Table1[[#This Row],[order_date]] &gt;=0, TRUE, FALSE)</f>
        <v>1</v>
      </c>
    </row>
    <row r="23" spans="1:11" x14ac:dyDescent="0.2">
      <c r="A23" t="s">
        <v>1158</v>
      </c>
      <c r="B23" t="s">
        <v>968</v>
      </c>
      <c r="C23" s="9">
        <v>45681</v>
      </c>
      <c r="D23" s="9">
        <v>45681</v>
      </c>
      <c r="E23" t="s">
        <v>56</v>
      </c>
      <c r="F23" t="s">
        <v>761</v>
      </c>
      <c r="G23">
        <v>12</v>
      </c>
      <c r="H23">
        <v>67.03</v>
      </c>
      <c r="I23" t="s">
        <v>938</v>
      </c>
      <c r="K23" t="b">
        <f>IF(Table1[[#This Row],[dispatch_date]]-Table1[[#This Row],[order_date]] &gt;=0, TRUE, FALSE)</f>
        <v>1</v>
      </c>
    </row>
    <row r="24" spans="1:11" x14ac:dyDescent="0.2">
      <c r="A24" t="s">
        <v>1427</v>
      </c>
      <c r="B24" t="s">
        <v>989</v>
      </c>
      <c r="C24" s="9">
        <v>45681</v>
      </c>
      <c r="D24" s="9">
        <v>45684</v>
      </c>
      <c r="E24" t="s">
        <v>114</v>
      </c>
      <c r="G24">
        <v>6</v>
      </c>
      <c r="H24">
        <v>29.7</v>
      </c>
      <c r="I24" t="s">
        <v>916</v>
      </c>
      <c r="K24" t="b">
        <f>IF(Table1[[#This Row],[dispatch_date]]-Table1[[#This Row],[order_date]] &gt;=0, TRUE, FALSE)</f>
        <v>1</v>
      </c>
    </row>
    <row r="25" spans="1:11" x14ac:dyDescent="0.2">
      <c r="A25" t="s">
        <v>2072</v>
      </c>
      <c r="B25" t="s">
        <v>906</v>
      </c>
      <c r="C25" s="9">
        <v>45681</v>
      </c>
      <c r="D25" s="9">
        <v>45684</v>
      </c>
      <c r="E25" t="s">
        <v>114</v>
      </c>
      <c r="F25" t="s">
        <v>814</v>
      </c>
      <c r="G25">
        <v>24</v>
      </c>
      <c r="H25">
        <v>118.8</v>
      </c>
      <c r="I25" t="s">
        <v>938</v>
      </c>
      <c r="K25" t="b">
        <f>IF(Table1[[#This Row],[dispatch_date]]-Table1[[#This Row],[order_date]] &gt;=0, TRUE, FALSE)</f>
        <v>1</v>
      </c>
    </row>
    <row r="26" spans="1:11" x14ac:dyDescent="0.2">
      <c r="A26" t="s">
        <v>2616</v>
      </c>
      <c r="B26" t="s">
        <v>1031</v>
      </c>
      <c r="C26" s="9">
        <v>45681</v>
      </c>
      <c r="D26" s="9">
        <v>45682</v>
      </c>
      <c r="E26" t="s">
        <v>129</v>
      </c>
      <c r="F26" t="s">
        <v>660</v>
      </c>
      <c r="G26">
        <v>12</v>
      </c>
      <c r="H26">
        <v>57</v>
      </c>
      <c r="I26" t="s">
        <v>956</v>
      </c>
      <c r="K26" t="b">
        <f>IF(Table1[[#This Row],[dispatch_date]]-Table1[[#This Row],[order_date]] &gt;=0, TRUE, FALSE)</f>
        <v>1</v>
      </c>
    </row>
    <row r="27" spans="1:11" x14ac:dyDescent="0.2">
      <c r="A27" t="s">
        <v>2666</v>
      </c>
      <c r="B27" t="s">
        <v>922</v>
      </c>
      <c r="C27" s="9">
        <v>45681</v>
      </c>
      <c r="D27" s="9">
        <v>45682</v>
      </c>
      <c r="E27" t="s">
        <v>69</v>
      </c>
      <c r="F27" t="s">
        <v>576</v>
      </c>
      <c r="G27">
        <v>24</v>
      </c>
      <c r="H27">
        <v>128.16</v>
      </c>
      <c r="I27" t="s">
        <v>912</v>
      </c>
      <c r="K27" t="b">
        <f>IF(Table1[[#This Row],[dispatch_date]]-Table1[[#This Row],[order_date]] &gt;=0, TRUE, FALSE)</f>
        <v>1</v>
      </c>
    </row>
    <row r="28" spans="1:11" x14ac:dyDescent="0.2">
      <c r="A28" t="s">
        <v>1448</v>
      </c>
      <c r="B28" t="s">
        <v>1077</v>
      </c>
      <c r="C28" s="9">
        <v>45682</v>
      </c>
      <c r="D28" s="9">
        <v>45682</v>
      </c>
      <c r="E28" t="s">
        <v>69</v>
      </c>
      <c r="G28">
        <v>24</v>
      </c>
      <c r="H28">
        <v>128.16</v>
      </c>
      <c r="I28" t="s">
        <v>1079</v>
      </c>
      <c r="K28" t="b">
        <f>IF(Table1[[#This Row],[dispatch_date]]-Table1[[#This Row],[order_date]] &gt;=0, TRUE, FALSE)</f>
        <v>1</v>
      </c>
    </row>
    <row r="29" spans="1:11" x14ac:dyDescent="0.2">
      <c r="A29" t="s">
        <v>1558</v>
      </c>
      <c r="B29" t="s">
        <v>976</v>
      </c>
      <c r="C29" s="9">
        <v>45682</v>
      </c>
      <c r="D29" s="9">
        <v>45684</v>
      </c>
      <c r="E29" t="s">
        <v>93</v>
      </c>
      <c r="F29" t="s">
        <v>689</v>
      </c>
      <c r="G29">
        <v>24</v>
      </c>
      <c r="H29">
        <v>66.959999999999994</v>
      </c>
      <c r="I29" t="s">
        <v>938</v>
      </c>
      <c r="K29" t="b">
        <f>IF(Table1[[#This Row],[dispatch_date]]-Table1[[#This Row],[order_date]] &gt;=0, TRUE, FALSE)</f>
        <v>1</v>
      </c>
    </row>
    <row r="30" spans="1:11" x14ac:dyDescent="0.2">
      <c r="A30" t="s">
        <v>1576</v>
      </c>
      <c r="B30" t="s">
        <v>1031</v>
      </c>
      <c r="C30" s="9">
        <v>45682</v>
      </c>
      <c r="D30" s="9">
        <v>45685</v>
      </c>
      <c r="E30" t="s">
        <v>127</v>
      </c>
      <c r="F30" t="s">
        <v>258</v>
      </c>
      <c r="G30">
        <v>12</v>
      </c>
      <c r="H30">
        <v>49.2</v>
      </c>
      <c r="I30" t="s">
        <v>956</v>
      </c>
      <c r="K30" t="b">
        <f>IF(Table1[[#This Row],[dispatch_date]]-Table1[[#This Row],[order_date]] &gt;=0, TRUE, FALSE)</f>
        <v>1</v>
      </c>
    </row>
    <row r="31" spans="1:11" x14ac:dyDescent="0.2">
      <c r="A31" t="s">
        <v>1890</v>
      </c>
      <c r="B31" t="s">
        <v>1076</v>
      </c>
      <c r="C31" s="9">
        <v>45682</v>
      </c>
      <c r="D31" s="9">
        <v>45684</v>
      </c>
      <c r="E31" t="s">
        <v>97</v>
      </c>
      <c r="F31" t="s">
        <v>279</v>
      </c>
      <c r="G31">
        <v>48</v>
      </c>
      <c r="H31">
        <v>258.24</v>
      </c>
      <c r="I31" t="s">
        <v>927</v>
      </c>
      <c r="K31" t="b">
        <f>IF(Table1[[#This Row],[dispatch_date]]-Table1[[#This Row],[order_date]] &gt;=0, TRUE, FALSE)</f>
        <v>1</v>
      </c>
    </row>
    <row r="32" spans="1:11" x14ac:dyDescent="0.2">
      <c r="A32" t="s">
        <v>2544</v>
      </c>
      <c r="B32" t="s">
        <v>1048</v>
      </c>
      <c r="C32" s="9">
        <v>45682</v>
      </c>
      <c r="D32" s="9">
        <v>45683</v>
      </c>
      <c r="E32" t="s">
        <v>82</v>
      </c>
      <c r="F32" t="s">
        <v>818</v>
      </c>
      <c r="G32">
        <v>24</v>
      </c>
      <c r="H32">
        <v>44.92</v>
      </c>
      <c r="I32" t="s">
        <v>912</v>
      </c>
      <c r="K32" t="b">
        <f>IF(Table1[[#This Row],[dispatch_date]]-Table1[[#This Row],[order_date]] &gt;=0, TRUE, FALSE)</f>
        <v>1</v>
      </c>
    </row>
    <row r="33" spans="1:11" x14ac:dyDescent="0.2">
      <c r="A33" t="s">
        <v>2812</v>
      </c>
      <c r="B33" t="s">
        <v>991</v>
      </c>
      <c r="C33" s="9">
        <v>45682</v>
      </c>
      <c r="D33" s="9">
        <v>45682</v>
      </c>
      <c r="E33" t="s">
        <v>58</v>
      </c>
      <c r="F33" t="s">
        <v>372</v>
      </c>
      <c r="G33">
        <v>72</v>
      </c>
      <c r="H33">
        <v>453.6</v>
      </c>
      <c r="I33" t="s">
        <v>956</v>
      </c>
      <c r="K33" t="b">
        <f>IF(Table1[[#This Row],[dispatch_date]]-Table1[[#This Row],[order_date]] &gt;=0, TRUE, FALSE)</f>
        <v>1</v>
      </c>
    </row>
    <row r="34" spans="1:11" x14ac:dyDescent="0.2">
      <c r="A34" t="s">
        <v>1679</v>
      </c>
      <c r="B34" t="s">
        <v>1013</v>
      </c>
      <c r="C34" s="9">
        <v>45683</v>
      </c>
      <c r="D34" s="9">
        <v>45683</v>
      </c>
      <c r="E34" t="s">
        <v>101</v>
      </c>
      <c r="F34" t="s">
        <v>573</v>
      </c>
      <c r="G34">
        <v>48</v>
      </c>
      <c r="H34">
        <v>161.28</v>
      </c>
      <c r="I34" t="s">
        <v>956</v>
      </c>
      <c r="K34" t="b">
        <f>IF(Table1[[#This Row],[dispatch_date]]-Table1[[#This Row],[order_date]] &gt;=0, TRUE, FALSE)</f>
        <v>1</v>
      </c>
    </row>
    <row r="35" spans="1:11" x14ac:dyDescent="0.2">
      <c r="A35" t="s">
        <v>1702</v>
      </c>
      <c r="B35" t="s">
        <v>987</v>
      </c>
      <c r="C35" s="9">
        <v>45683</v>
      </c>
      <c r="D35" s="9">
        <v>45686</v>
      </c>
      <c r="E35" t="s">
        <v>114</v>
      </c>
      <c r="F35" t="s">
        <v>471</v>
      </c>
      <c r="G35">
        <v>6</v>
      </c>
      <c r="H35">
        <v>28.21</v>
      </c>
      <c r="I35" t="s">
        <v>1079</v>
      </c>
      <c r="K35" t="b">
        <f>IF(Table1[[#This Row],[dispatch_date]]-Table1[[#This Row],[order_date]] &gt;=0, TRUE, FALSE)</f>
        <v>1</v>
      </c>
    </row>
    <row r="36" spans="1:11" x14ac:dyDescent="0.2">
      <c r="A36" t="s">
        <v>2095</v>
      </c>
      <c r="B36" t="s">
        <v>958</v>
      </c>
      <c r="C36" s="9">
        <v>45683</v>
      </c>
      <c r="D36" s="9">
        <v>45685</v>
      </c>
      <c r="E36" t="s">
        <v>48</v>
      </c>
      <c r="F36" t="s">
        <v>604</v>
      </c>
      <c r="G36">
        <v>48</v>
      </c>
      <c r="H36">
        <v>323.52</v>
      </c>
      <c r="I36" t="s">
        <v>956</v>
      </c>
      <c r="K36" t="b">
        <f>IF(Table1[[#This Row],[dispatch_date]]-Table1[[#This Row],[order_date]] &gt;=0, TRUE, FALSE)</f>
        <v>1</v>
      </c>
    </row>
    <row r="37" spans="1:11" x14ac:dyDescent="0.2">
      <c r="A37" t="s">
        <v>2207</v>
      </c>
      <c r="B37" t="s">
        <v>968</v>
      </c>
      <c r="C37" s="9">
        <v>45683</v>
      </c>
      <c r="D37" s="9">
        <v>45683</v>
      </c>
      <c r="E37" t="s">
        <v>69</v>
      </c>
      <c r="F37" t="s">
        <v>576</v>
      </c>
      <c r="G37">
        <v>72</v>
      </c>
      <c r="H37">
        <v>384.48</v>
      </c>
      <c r="I37" t="s">
        <v>938</v>
      </c>
      <c r="K37" t="b">
        <f>IF(Table1[[#This Row],[dispatch_date]]-Table1[[#This Row],[order_date]] &gt;=0, TRUE, FALSE)</f>
        <v>1</v>
      </c>
    </row>
    <row r="38" spans="1:11" x14ac:dyDescent="0.2">
      <c r="A38" t="s">
        <v>2394</v>
      </c>
      <c r="B38" t="s">
        <v>1056</v>
      </c>
      <c r="C38" s="9">
        <v>45683</v>
      </c>
      <c r="D38" s="9"/>
      <c r="E38" t="s">
        <v>25</v>
      </c>
      <c r="F38" t="s">
        <v>709</v>
      </c>
      <c r="G38">
        <v>72</v>
      </c>
      <c r="H38">
        <v>399.6</v>
      </c>
      <c r="I38" t="s">
        <v>912</v>
      </c>
      <c r="K38" t="b">
        <f>IF(Table1[[#This Row],[dispatch_date]]-Table1[[#This Row],[order_date]] &gt;=0, TRUE, FALSE)</f>
        <v>0</v>
      </c>
    </row>
    <row r="39" spans="1:11" x14ac:dyDescent="0.2">
      <c r="A39" t="s">
        <v>2406</v>
      </c>
      <c r="B39" t="s">
        <v>1064</v>
      </c>
      <c r="C39" s="9">
        <v>45683</v>
      </c>
      <c r="D39" s="9">
        <v>45683</v>
      </c>
      <c r="E39" t="s">
        <v>114</v>
      </c>
      <c r="F39" t="s">
        <v>706</v>
      </c>
      <c r="G39">
        <v>12</v>
      </c>
      <c r="H39">
        <v>59.4</v>
      </c>
      <c r="I39" t="s">
        <v>1079</v>
      </c>
      <c r="K39" t="b">
        <f>IF(Table1[[#This Row],[dispatch_date]]-Table1[[#This Row],[order_date]] &gt;=0, TRUE, FALSE)</f>
        <v>1</v>
      </c>
    </row>
    <row r="40" spans="1:11" x14ac:dyDescent="0.2">
      <c r="A40" t="s">
        <v>1833</v>
      </c>
      <c r="B40" t="s">
        <v>973</v>
      </c>
      <c r="C40" s="9">
        <v>45684</v>
      </c>
      <c r="D40" s="9">
        <v>45685</v>
      </c>
      <c r="E40" t="s">
        <v>125</v>
      </c>
      <c r="F40" t="s">
        <v>270</v>
      </c>
      <c r="G40">
        <v>24</v>
      </c>
      <c r="H40">
        <v>183.12</v>
      </c>
      <c r="I40" t="s">
        <v>1079</v>
      </c>
      <c r="K40" t="b">
        <f>IF(Table1[[#This Row],[dispatch_date]]-Table1[[#This Row],[order_date]] &gt;=0, TRUE, FALSE)</f>
        <v>1</v>
      </c>
    </row>
    <row r="41" spans="1:11" x14ac:dyDescent="0.2">
      <c r="A41" t="s">
        <v>2028</v>
      </c>
      <c r="B41" t="s">
        <v>1064</v>
      </c>
      <c r="C41" s="9">
        <v>45684</v>
      </c>
      <c r="D41" s="9">
        <v>45684</v>
      </c>
      <c r="E41" t="s">
        <v>71</v>
      </c>
      <c r="F41" t="s">
        <v>881</v>
      </c>
      <c r="G41">
        <v>6</v>
      </c>
      <c r="H41">
        <v>54.21</v>
      </c>
      <c r="I41" t="s">
        <v>1079</v>
      </c>
      <c r="K41" t="b">
        <f>IF(Table1[[#This Row],[dispatch_date]]-Table1[[#This Row],[order_date]] &gt;=0, TRUE, FALSE)</f>
        <v>1</v>
      </c>
    </row>
    <row r="42" spans="1:11" x14ac:dyDescent="0.2">
      <c r="A42" t="s">
        <v>2458</v>
      </c>
      <c r="B42" t="s">
        <v>1040</v>
      </c>
      <c r="C42" s="9">
        <v>45684</v>
      </c>
      <c r="D42" s="9">
        <v>45686</v>
      </c>
      <c r="E42" t="s">
        <v>84</v>
      </c>
      <c r="G42">
        <v>48</v>
      </c>
      <c r="H42">
        <v>107.04</v>
      </c>
      <c r="I42" t="s">
        <v>916</v>
      </c>
      <c r="K42" t="b">
        <f>IF(Table1[[#This Row],[dispatch_date]]-Table1[[#This Row],[order_date]] &gt;=0, TRUE, FALSE)</f>
        <v>1</v>
      </c>
    </row>
    <row r="43" spans="1:11" x14ac:dyDescent="0.2">
      <c r="A43" t="s">
        <v>2504</v>
      </c>
      <c r="B43" t="s">
        <v>1064</v>
      </c>
      <c r="C43" s="9">
        <v>45684</v>
      </c>
      <c r="D43" s="9">
        <v>45687</v>
      </c>
      <c r="E43" t="s">
        <v>14</v>
      </c>
      <c r="F43" t="s">
        <v>201</v>
      </c>
      <c r="G43">
        <v>24</v>
      </c>
      <c r="H43">
        <v>83.22</v>
      </c>
      <c r="I43" t="s">
        <v>1079</v>
      </c>
      <c r="K43" t="b">
        <f>IF(Table1[[#This Row],[dispatch_date]]-Table1[[#This Row],[order_date]] &gt;=0, TRUE, FALSE)</f>
        <v>1</v>
      </c>
    </row>
    <row r="44" spans="1:11" x14ac:dyDescent="0.2">
      <c r="A44" t="s">
        <v>2581</v>
      </c>
      <c r="B44" t="s">
        <v>954</v>
      </c>
      <c r="C44" s="9">
        <v>45684</v>
      </c>
      <c r="D44" s="9">
        <v>45687</v>
      </c>
      <c r="E44" t="s">
        <v>101</v>
      </c>
      <c r="F44" t="s">
        <v>773</v>
      </c>
      <c r="G44">
        <v>24</v>
      </c>
      <c r="H44">
        <v>80.64</v>
      </c>
      <c r="I44" t="s">
        <v>938</v>
      </c>
      <c r="K44" t="b">
        <f>IF(Table1[[#This Row],[dispatch_date]]-Table1[[#This Row],[order_date]] &gt;=0, TRUE, FALSE)</f>
        <v>1</v>
      </c>
    </row>
    <row r="45" spans="1:11" x14ac:dyDescent="0.2">
      <c r="A45" t="s">
        <v>2341</v>
      </c>
      <c r="B45" t="s">
        <v>1048</v>
      </c>
      <c r="C45" s="9">
        <v>45685</v>
      </c>
      <c r="D45" s="9">
        <v>45686</v>
      </c>
      <c r="E45" t="s">
        <v>28</v>
      </c>
      <c r="G45">
        <v>36</v>
      </c>
      <c r="H45">
        <v>206.64</v>
      </c>
      <c r="I45" t="s">
        <v>912</v>
      </c>
      <c r="K45" t="b">
        <f>IF(Table1[[#This Row],[dispatch_date]]-Table1[[#This Row],[order_date]] &gt;=0, TRUE, FALSE)</f>
        <v>1</v>
      </c>
    </row>
    <row r="46" spans="1:11" x14ac:dyDescent="0.2">
      <c r="A46" t="s">
        <v>2657</v>
      </c>
      <c r="B46" t="s">
        <v>991</v>
      </c>
      <c r="C46" s="9">
        <v>45685</v>
      </c>
      <c r="D46" s="9">
        <v>45688</v>
      </c>
      <c r="E46" t="s">
        <v>114</v>
      </c>
      <c r="F46" t="s">
        <v>814</v>
      </c>
      <c r="G46">
        <v>24</v>
      </c>
      <c r="H46">
        <v>118.8</v>
      </c>
      <c r="I46" t="s">
        <v>956</v>
      </c>
      <c r="K46" t="b">
        <f>IF(Table1[[#This Row],[dispatch_date]]-Table1[[#This Row],[order_date]] &gt;=0, TRUE, FALSE)</f>
        <v>1</v>
      </c>
    </row>
    <row r="47" spans="1:11" x14ac:dyDescent="0.2">
      <c r="A47" t="s">
        <v>1256</v>
      </c>
      <c r="B47" t="s">
        <v>1052</v>
      </c>
      <c r="C47" s="9">
        <v>45686</v>
      </c>
      <c r="D47" s="9">
        <v>45687</v>
      </c>
      <c r="E47" t="s">
        <v>42</v>
      </c>
      <c r="F47" t="s">
        <v>695</v>
      </c>
      <c r="G47">
        <v>48</v>
      </c>
      <c r="H47">
        <v>156.96</v>
      </c>
      <c r="I47" t="s">
        <v>956</v>
      </c>
      <c r="K47" t="b">
        <f>IF(Table1[[#This Row],[dispatch_date]]-Table1[[#This Row],[order_date]] &gt;=0, TRUE, FALSE)</f>
        <v>1</v>
      </c>
    </row>
    <row r="48" spans="1:11" x14ac:dyDescent="0.2">
      <c r="A48" t="s">
        <v>1722</v>
      </c>
      <c r="B48" t="s">
        <v>936</v>
      </c>
      <c r="C48" s="9">
        <v>45686</v>
      </c>
      <c r="D48" s="9">
        <v>45686</v>
      </c>
      <c r="E48" t="s">
        <v>25</v>
      </c>
      <c r="F48" t="s">
        <v>794</v>
      </c>
      <c r="G48">
        <v>48</v>
      </c>
      <c r="H48">
        <v>266.39999999999998</v>
      </c>
      <c r="I48" t="s">
        <v>938</v>
      </c>
      <c r="K48" t="b">
        <f>IF(Table1[[#This Row],[dispatch_date]]-Table1[[#This Row],[order_date]] &gt;=0, TRUE, FALSE)</f>
        <v>1</v>
      </c>
    </row>
    <row r="49" spans="1:11" x14ac:dyDescent="0.2">
      <c r="A49" t="s">
        <v>1156</v>
      </c>
      <c r="B49" t="s">
        <v>1009</v>
      </c>
      <c r="C49" s="9">
        <v>45687</v>
      </c>
      <c r="D49" s="9"/>
      <c r="E49" t="s">
        <v>22</v>
      </c>
      <c r="F49" t="s">
        <v>546</v>
      </c>
      <c r="G49">
        <v>72</v>
      </c>
      <c r="H49">
        <v>357.84</v>
      </c>
      <c r="I49" t="s">
        <v>912</v>
      </c>
      <c r="K49" t="b">
        <f>IF(Table1[[#This Row],[dispatch_date]]-Table1[[#This Row],[order_date]] &gt;=0, TRUE, FALSE)</f>
        <v>0</v>
      </c>
    </row>
    <row r="50" spans="1:11" x14ac:dyDescent="0.2">
      <c r="A50" t="s">
        <v>1793</v>
      </c>
      <c r="B50" t="s">
        <v>929</v>
      </c>
      <c r="C50" s="9">
        <v>45687</v>
      </c>
      <c r="D50" s="9">
        <v>45687</v>
      </c>
      <c r="E50" t="s">
        <v>99</v>
      </c>
      <c r="F50" t="s">
        <v>641</v>
      </c>
      <c r="G50">
        <v>24</v>
      </c>
      <c r="H50">
        <v>168.49</v>
      </c>
      <c r="I50" t="s">
        <v>912</v>
      </c>
      <c r="K50" t="b">
        <f>IF(Table1[[#This Row],[dispatch_date]]-Table1[[#This Row],[order_date]] &gt;=0, TRUE, FALSE)</f>
        <v>1</v>
      </c>
    </row>
    <row r="51" spans="1:11" x14ac:dyDescent="0.2">
      <c r="A51" t="s">
        <v>1929</v>
      </c>
      <c r="B51" t="s">
        <v>1059</v>
      </c>
      <c r="C51" s="9">
        <v>45687</v>
      </c>
      <c r="D51" s="9">
        <v>45688</v>
      </c>
      <c r="E51" t="s">
        <v>25</v>
      </c>
      <c r="G51">
        <v>72</v>
      </c>
      <c r="H51">
        <v>399.6</v>
      </c>
      <c r="I51" t="s">
        <v>956</v>
      </c>
      <c r="K51" t="b">
        <f>IF(Table1[[#This Row],[dispatch_date]]-Table1[[#This Row],[order_date]] &gt;=0, TRUE, FALSE)</f>
        <v>1</v>
      </c>
    </row>
    <row r="52" spans="1:11" x14ac:dyDescent="0.2">
      <c r="A52" t="s">
        <v>1754</v>
      </c>
      <c r="B52" t="s">
        <v>925</v>
      </c>
      <c r="C52" s="9">
        <v>45688</v>
      </c>
      <c r="D52" s="9">
        <v>45690</v>
      </c>
      <c r="E52" t="s">
        <v>105</v>
      </c>
      <c r="F52" t="s">
        <v>579</v>
      </c>
      <c r="G52">
        <v>6</v>
      </c>
      <c r="H52">
        <v>35.700000000000003</v>
      </c>
      <c r="I52" t="s">
        <v>927</v>
      </c>
      <c r="K52" t="b">
        <f>IF(Table1[[#This Row],[dispatch_date]]-Table1[[#This Row],[order_date]] &gt;=0, TRUE, FALSE)</f>
        <v>1</v>
      </c>
    </row>
    <row r="53" spans="1:11" x14ac:dyDescent="0.2">
      <c r="A53" t="s">
        <v>1813</v>
      </c>
      <c r="B53" t="s">
        <v>968</v>
      </c>
      <c r="C53" s="9">
        <v>45688</v>
      </c>
      <c r="D53" s="9">
        <v>45688</v>
      </c>
      <c r="E53" t="s">
        <v>90</v>
      </c>
      <c r="G53">
        <v>12</v>
      </c>
      <c r="H53">
        <v>95.76</v>
      </c>
      <c r="I53" t="s">
        <v>938</v>
      </c>
      <c r="K53" t="b">
        <f>IF(Table1[[#This Row],[dispatch_date]]-Table1[[#This Row],[order_date]] &gt;=0, TRUE, FALSE)</f>
        <v>1</v>
      </c>
    </row>
    <row r="54" spans="1:11" x14ac:dyDescent="0.2">
      <c r="A54" t="s">
        <v>2661</v>
      </c>
      <c r="B54" t="s">
        <v>1072</v>
      </c>
      <c r="C54" s="9">
        <v>45688</v>
      </c>
      <c r="D54" s="9">
        <v>45689</v>
      </c>
      <c r="E54" t="s">
        <v>90</v>
      </c>
      <c r="F54" t="s">
        <v>209</v>
      </c>
      <c r="G54">
        <v>24</v>
      </c>
      <c r="H54">
        <v>201.6</v>
      </c>
      <c r="I54" t="s">
        <v>956</v>
      </c>
      <c r="K54" t="b">
        <f>IF(Table1[[#This Row],[dispatch_date]]-Table1[[#This Row],[order_date]] &gt;=0, TRUE, FALSE)</f>
        <v>1</v>
      </c>
    </row>
    <row r="55" spans="1:11" x14ac:dyDescent="0.2">
      <c r="A55" t="s">
        <v>1143</v>
      </c>
      <c r="B55" t="s">
        <v>1031</v>
      </c>
      <c r="C55" s="9">
        <v>45689</v>
      </c>
      <c r="D55" s="9">
        <v>45691</v>
      </c>
      <c r="E55" t="s">
        <v>71</v>
      </c>
      <c r="F55" t="s">
        <v>737</v>
      </c>
      <c r="G55">
        <v>24</v>
      </c>
      <c r="H55">
        <v>228.24</v>
      </c>
      <c r="I55" t="s">
        <v>956</v>
      </c>
      <c r="K55" t="b">
        <f>IF(Table1[[#This Row],[dispatch_date]]-Table1[[#This Row],[order_date]] &gt;=0, TRUE, FALSE)</f>
        <v>1</v>
      </c>
    </row>
    <row r="56" spans="1:11" x14ac:dyDescent="0.2">
      <c r="A56" t="s">
        <v>1506</v>
      </c>
      <c r="B56" t="s">
        <v>993</v>
      </c>
      <c r="C56" s="9">
        <v>45689</v>
      </c>
      <c r="D56" s="9">
        <v>45689</v>
      </c>
      <c r="E56" t="s">
        <v>54</v>
      </c>
      <c r="F56" t="s">
        <v>529</v>
      </c>
      <c r="G56">
        <v>24</v>
      </c>
      <c r="H56">
        <v>101</v>
      </c>
      <c r="I56" t="s">
        <v>938</v>
      </c>
      <c r="K56" t="b">
        <f>IF(Table1[[#This Row],[dispatch_date]]-Table1[[#This Row],[order_date]] &gt;=0, TRUE, FALSE)</f>
        <v>1</v>
      </c>
    </row>
    <row r="57" spans="1:11" x14ac:dyDescent="0.2">
      <c r="A57" t="s">
        <v>1581</v>
      </c>
      <c r="B57" t="s">
        <v>1042</v>
      </c>
      <c r="C57" s="9">
        <v>45689</v>
      </c>
      <c r="D57" s="9">
        <v>45690</v>
      </c>
      <c r="E57" t="s">
        <v>28</v>
      </c>
      <c r="F57" t="s">
        <v>561</v>
      </c>
      <c r="G57">
        <v>24</v>
      </c>
      <c r="H57">
        <v>137.76</v>
      </c>
      <c r="I57" t="s">
        <v>1079</v>
      </c>
      <c r="K57" t="b">
        <f>IF(Table1[[#This Row],[dispatch_date]]-Table1[[#This Row],[order_date]] &gt;=0, TRUE, FALSE)</f>
        <v>1</v>
      </c>
    </row>
    <row r="58" spans="1:11" x14ac:dyDescent="0.2">
      <c r="A58" t="s">
        <v>2704</v>
      </c>
      <c r="B58" t="s">
        <v>1034</v>
      </c>
      <c r="C58" s="9">
        <v>45689</v>
      </c>
      <c r="D58" s="9"/>
      <c r="E58" t="s">
        <v>123</v>
      </c>
      <c r="F58" t="s">
        <v>721</v>
      </c>
      <c r="G58">
        <v>48</v>
      </c>
      <c r="H58">
        <v>318.74</v>
      </c>
      <c r="I58" t="s">
        <v>938</v>
      </c>
      <c r="K58" t="b">
        <f>IF(Table1[[#This Row],[dispatch_date]]-Table1[[#This Row],[order_date]] &gt;=0, TRUE, FALSE)</f>
        <v>0</v>
      </c>
    </row>
    <row r="59" spans="1:11" x14ac:dyDescent="0.2">
      <c r="A59" t="s">
        <v>2507</v>
      </c>
      <c r="B59" t="s">
        <v>1055</v>
      </c>
      <c r="C59" s="9">
        <v>45690</v>
      </c>
      <c r="D59" s="9">
        <v>45693</v>
      </c>
      <c r="E59" t="s">
        <v>116</v>
      </c>
      <c r="F59" t="s">
        <v>386</v>
      </c>
      <c r="G59">
        <v>24</v>
      </c>
      <c r="H59">
        <v>116.16</v>
      </c>
      <c r="I59" t="s">
        <v>938</v>
      </c>
      <c r="K59" t="b">
        <f>IF(Table1[[#This Row],[dispatch_date]]-Table1[[#This Row],[order_date]] &gt;=0, TRUE, FALSE)</f>
        <v>1</v>
      </c>
    </row>
    <row r="60" spans="1:11" x14ac:dyDescent="0.2">
      <c r="A60" t="s">
        <v>2602</v>
      </c>
      <c r="B60" t="s">
        <v>1052</v>
      </c>
      <c r="C60" s="9">
        <v>45690</v>
      </c>
      <c r="D60" s="9">
        <v>45690</v>
      </c>
      <c r="E60" t="s">
        <v>50</v>
      </c>
      <c r="F60" t="s">
        <v>389</v>
      </c>
      <c r="G60">
        <v>36</v>
      </c>
      <c r="H60">
        <v>219.6</v>
      </c>
      <c r="I60" t="s">
        <v>956</v>
      </c>
      <c r="K60" t="b">
        <f>IF(Table1[[#This Row],[dispatch_date]]-Table1[[#This Row],[order_date]] &gt;=0, TRUE, FALSE)</f>
        <v>1</v>
      </c>
    </row>
    <row r="61" spans="1:11" x14ac:dyDescent="0.2">
      <c r="A61" t="s">
        <v>1699</v>
      </c>
      <c r="B61" t="s">
        <v>922</v>
      </c>
      <c r="C61" s="9">
        <v>45691</v>
      </c>
      <c r="D61" s="9">
        <v>45692</v>
      </c>
      <c r="E61" t="s">
        <v>63</v>
      </c>
      <c r="F61" t="s">
        <v>297</v>
      </c>
      <c r="G61">
        <v>24</v>
      </c>
      <c r="H61">
        <v>235.2</v>
      </c>
      <c r="I61" t="s">
        <v>912</v>
      </c>
      <c r="K61" t="b">
        <f>IF(Table1[[#This Row],[dispatch_date]]-Table1[[#This Row],[order_date]] &gt;=0, TRUE, FALSE)</f>
        <v>1</v>
      </c>
    </row>
    <row r="62" spans="1:11" x14ac:dyDescent="0.2">
      <c r="A62" t="s">
        <v>1859</v>
      </c>
      <c r="B62" t="s">
        <v>951</v>
      </c>
      <c r="C62" s="9">
        <v>45691</v>
      </c>
      <c r="D62" s="9">
        <v>45694</v>
      </c>
      <c r="E62" t="s">
        <v>118</v>
      </c>
      <c r="F62" t="s">
        <v>288</v>
      </c>
      <c r="G62">
        <v>6</v>
      </c>
      <c r="H62">
        <v>78.84</v>
      </c>
      <c r="I62" t="s">
        <v>956</v>
      </c>
      <c r="K62" t="b">
        <f>IF(Table1[[#This Row],[dispatch_date]]-Table1[[#This Row],[order_date]] &gt;=0, TRUE, FALSE)</f>
        <v>1</v>
      </c>
    </row>
    <row r="63" spans="1:11" x14ac:dyDescent="0.2">
      <c r="A63" t="s">
        <v>1505</v>
      </c>
      <c r="B63" t="s">
        <v>954</v>
      </c>
      <c r="C63" s="9">
        <v>45692</v>
      </c>
      <c r="D63" s="9">
        <v>45694</v>
      </c>
      <c r="E63" t="s">
        <v>50</v>
      </c>
      <c r="F63" t="s">
        <v>195</v>
      </c>
      <c r="G63">
        <v>72</v>
      </c>
      <c r="H63">
        <v>439.2</v>
      </c>
      <c r="I63" t="s">
        <v>956</v>
      </c>
      <c r="K63" t="b">
        <f>IF(Table1[[#This Row],[dispatch_date]]-Table1[[#This Row],[order_date]] &gt;=0, TRUE, FALSE)</f>
        <v>1</v>
      </c>
    </row>
    <row r="64" spans="1:11" x14ac:dyDescent="0.2">
      <c r="A64" t="s">
        <v>1938</v>
      </c>
      <c r="B64" t="s">
        <v>1029</v>
      </c>
      <c r="C64" s="9">
        <v>45692</v>
      </c>
      <c r="D64" s="9">
        <v>45694</v>
      </c>
      <c r="E64" t="s">
        <v>74</v>
      </c>
      <c r="F64" t="s">
        <v>450</v>
      </c>
      <c r="G64">
        <v>36</v>
      </c>
      <c r="H64">
        <v>77.400000000000006</v>
      </c>
      <c r="I64" t="s">
        <v>938</v>
      </c>
      <c r="K64" t="b">
        <f>IF(Table1[[#This Row],[dispatch_date]]-Table1[[#This Row],[order_date]] &gt;=0, TRUE, FALSE)</f>
        <v>1</v>
      </c>
    </row>
    <row r="65" spans="1:11" x14ac:dyDescent="0.2">
      <c r="A65" t="s">
        <v>2535</v>
      </c>
      <c r="B65" t="s">
        <v>948</v>
      </c>
      <c r="C65" s="9">
        <v>45692</v>
      </c>
      <c r="D65" s="9">
        <v>45695</v>
      </c>
      <c r="E65" t="s">
        <v>108</v>
      </c>
      <c r="F65" t="s">
        <v>564</v>
      </c>
      <c r="G65">
        <v>72</v>
      </c>
      <c r="H65">
        <v>488.38</v>
      </c>
      <c r="I65" t="s">
        <v>938</v>
      </c>
      <c r="K65" t="b">
        <f>IF(Table1[[#This Row],[dispatch_date]]-Table1[[#This Row],[order_date]] &gt;=0, TRUE, FALSE)</f>
        <v>1</v>
      </c>
    </row>
    <row r="66" spans="1:11" x14ac:dyDescent="0.2">
      <c r="A66" t="s">
        <v>2850</v>
      </c>
      <c r="B66" t="s">
        <v>1064</v>
      </c>
      <c r="C66" s="9">
        <v>45692</v>
      </c>
      <c r="D66" s="9">
        <v>45693</v>
      </c>
      <c r="E66" t="s">
        <v>125</v>
      </c>
      <c r="F66" t="s">
        <v>519</v>
      </c>
      <c r="G66">
        <v>24</v>
      </c>
      <c r="H66">
        <v>183.12</v>
      </c>
      <c r="I66" t="s">
        <v>1079</v>
      </c>
      <c r="K66" t="b">
        <f>IF(Table1[[#This Row],[dispatch_date]]-Table1[[#This Row],[order_date]] &gt;=0, TRUE, FALSE)</f>
        <v>1</v>
      </c>
    </row>
    <row r="67" spans="1:11" x14ac:dyDescent="0.2">
      <c r="A67" t="s">
        <v>1109</v>
      </c>
      <c r="B67" t="s">
        <v>1055</v>
      </c>
      <c r="C67" s="9">
        <v>45693</v>
      </c>
      <c r="D67" s="9">
        <v>45693</v>
      </c>
      <c r="E67" t="s">
        <v>95</v>
      </c>
      <c r="F67" t="s">
        <v>318</v>
      </c>
      <c r="G67">
        <v>24</v>
      </c>
      <c r="H67">
        <v>94.56</v>
      </c>
      <c r="I67" t="s">
        <v>938</v>
      </c>
      <c r="K67" t="b">
        <f>IF(Table1[[#This Row],[dispatch_date]]-Table1[[#This Row],[order_date]] &gt;=0, TRUE, FALSE)</f>
        <v>1</v>
      </c>
    </row>
    <row r="68" spans="1:11" x14ac:dyDescent="0.2">
      <c r="A68" t="s">
        <v>1528</v>
      </c>
      <c r="B68" t="s">
        <v>1049</v>
      </c>
      <c r="C68" s="9">
        <v>45779</v>
      </c>
      <c r="D68" s="9">
        <v>45781</v>
      </c>
      <c r="E68" t="s">
        <v>17</v>
      </c>
      <c r="F68" t="s">
        <v>699</v>
      </c>
      <c r="G68">
        <v>12</v>
      </c>
      <c r="H68">
        <v>68.290000000000006</v>
      </c>
      <c r="I68" t="s">
        <v>938</v>
      </c>
      <c r="K68" t="b">
        <f>IF(Table1[[#This Row],[dispatch_date]]-Table1[[#This Row],[order_date]] &gt;=0, TRUE, FALSE)</f>
        <v>1</v>
      </c>
    </row>
    <row r="69" spans="1:11" x14ac:dyDescent="0.2">
      <c r="A69" t="s">
        <v>1940</v>
      </c>
      <c r="B69" t="s">
        <v>1080</v>
      </c>
      <c r="C69" s="9">
        <v>45693</v>
      </c>
      <c r="D69" s="9">
        <v>45694</v>
      </c>
      <c r="E69" t="s">
        <v>129</v>
      </c>
      <c r="F69" t="s">
        <v>660</v>
      </c>
      <c r="G69">
        <v>12</v>
      </c>
      <c r="H69">
        <v>57</v>
      </c>
      <c r="I69" t="s">
        <v>916</v>
      </c>
      <c r="K69" t="b">
        <f>IF(Table1[[#This Row],[dispatch_date]]-Table1[[#This Row],[order_date]] &gt;=0, TRUE, FALSE)</f>
        <v>1</v>
      </c>
    </row>
    <row r="70" spans="1:11" x14ac:dyDescent="0.2">
      <c r="A70" t="s">
        <v>2642</v>
      </c>
      <c r="B70" t="s">
        <v>998</v>
      </c>
      <c r="C70" s="9">
        <v>45693</v>
      </c>
      <c r="D70" s="9">
        <v>45693</v>
      </c>
      <c r="E70" t="s">
        <v>127</v>
      </c>
      <c r="F70" t="s">
        <v>305</v>
      </c>
      <c r="G70">
        <v>36</v>
      </c>
      <c r="H70">
        <v>147.6</v>
      </c>
      <c r="I70" t="s">
        <v>938</v>
      </c>
      <c r="K70" t="b">
        <f>IF(Table1[[#This Row],[dispatch_date]]-Table1[[#This Row],[order_date]] &gt;=0, TRUE, FALSE)</f>
        <v>1</v>
      </c>
    </row>
    <row r="71" spans="1:11" x14ac:dyDescent="0.2">
      <c r="A71" t="s">
        <v>1847</v>
      </c>
      <c r="B71" t="s">
        <v>1027</v>
      </c>
      <c r="C71" s="9">
        <v>45694</v>
      </c>
      <c r="D71" s="9">
        <v>45696</v>
      </c>
      <c r="E71" t="s">
        <v>99</v>
      </c>
      <c r="F71" t="s">
        <v>703</v>
      </c>
      <c r="G71">
        <v>48</v>
      </c>
      <c r="H71">
        <v>354.72</v>
      </c>
      <c r="I71" t="s">
        <v>938</v>
      </c>
      <c r="K71" t="b">
        <f>IF(Table1[[#This Row],[dispatch_date]]-Table1[[#This Row],[order_date]] &gt;=0, TRUE, FALSE)</f>
        <v>1</v>
      </c>
    </row>
    <row r="72" spans="1:11" x14ac:dyDescent="0.2">
      <c r="A72" t="s">
        <v>1889</v>
      </c>
      <c r="B72" t="s">
        <v>1027</v>
      </c>
      <c r="C72" s="9">
        <v>45694</v>
      </c>
      <c r="D72" s="9">
        <v>45695</v>
      </c>
      <c r="E72" t="s">
        <v>105</v>
      </c>
      <c r="F72" t="s">
        <v>212</v>
      </c>
      <c r="G72">
        <v>12</v>
      </c>
      <c r="H72">
        <v>71.400000000000006</v>
      </c>
      <c r="I72" t="s">
        <v>916</v>
      </c>
      <c r="K72" t="b">
        <f>IF(Table1[[#This Row],[dispatch_date]]-Table1[[#This Row],[order_date]] &gt;=0, TRUE, FALSE)</f>
        <v>1</v>
      </c>
    </row>
    <row r="73" spans="1:11" x14ac:dyDescent="0.2">
      <c r="A73" t="s">
        <v>2306</v>
      </c>
      <c r="B73" t="s">
        <v>971</v>
      </c>
      <c r="C73" s="9">
        <v>45694</v>
      </c>
      <c r="D73" s="9">
        <v>45697</v>
      </c>
      <c r="E73" t="s">
        <v>99</v>
      </c>
      <c r="F73" t="s">
        <v>641</v>
      </c>
      <c r="G73">
        <v>48</v>
      </c>
      <c r="H73">
        <v>354.72</v>
      </c>
      <c r="I73" t="s">
        <v>956</v>
      </c>
      <c r="K73" t="b">
        <f>IF(Table1[[#This Row],[dispatch_date]]-Table1[[#This Row],[order_date]] &gt;=0, TRUE, FALSE)</f>
        <v>1</v>
      </c>
    </row>
    <row r="74" spans="1:11" x14ac:dyDescent="0.2">
      <c r="A74" t="s">
        <v>2667</v>
      </c>
      <c r="B74" t="s">
        <v>987</v>
      </c>
      <c r="C74" s="9">
        <v>45694</v>
      </c>
      <c r="D74" s="9">
        <v>45695</v>
      </c>
      <c r="E74" t="s">
        <v>108</v>
      </c>
      <c r="G74">
        <v>36</v>
      </c>
      <c r="H74">
        <v>257.04000000000002</v>
      </c>
      <c r="I74" t="s">
        <v>1079</v>
      </c>
      <c r="K74" t="b">
        <f>IF(Table1[[#This Row],[dispatch_date]]-Table1[[#This Row],[order_date]] &gt;=0, TRUE, FALSE)</f>
        <v>1</v>
      </c>
    </row>
    <row r="75" spans="1:11" x14ac:dyDescent="0.2">
      <c r="A75" t="s">
        <v>2216</v>
      </c>
      <c r="B75" t="s">
        <v>929</v>
      </c>
      <c r="C75" s="9">
        <v>45695</v>
      </c>
      <c r="D75" s="9">
        <v>45696</v>
      </c>
      <c r="E75" t="s">
        <v>97</v>
      </c>
      <c r="F75" t="s">
        <v>634</v>
      </c>
      <c r="G75">
        <v>24</v>
      </c>
      <c r="H75">
        <v>122.66</v>
      </c>
      <c r="I75" t="s">
        <v>912</v>
      </c>
      <c r="K75" t="b">
        <f>IF(Table1[[#This Row],[dispatch_date]]-Table1[[#This Row],[order_date]] &gt;=0, TRUE, FALSE)</f>
        <v>1</v>
      </c>
    </row>
    <row r="76" spans="1:11" x14ac:dyDescent="0.2">
      <c r="A76" t="s">
        <v>2433</v>
      </c>
      <c r="B76" t="s">
        <v>1001</v>
      </c>
      <c r="C76" s="9">
        <v>45695</v>
      </c>
      <c r="D76" s="9">
        <v>45696</v>
      </c>
      <c r="E76" t="s">
        <v>95</v>
      </c>
      <c r="F76" t="s">
        <v>313</v>
      </c>
      <c r="G76">
        <v>36</v>
      </c>
      <c r="H76">
        <v>134.75</v>
      </c>
      <c r="I76" t="s">
        <v>916</v>
      </c>
      <c r="K76" t="b">
        <f>IF(Table1[[#This Row],[dispatch_date]]-Table1[[#This Row],[order_date]] &gt;=0, TRUE, FALSE)</f>
        <v>1</v>
      </c>
    </row>
    <row r="77" spans="1:11" x14ac:dyDescent="0.2">
      <c r="A77" t="s">
        <v>2469</v>
      </c>
      <c r="B77" t="s">
        <v>998</v>
      </c>
      <c r="C77" s="9">
        <v>45695</v>
      </c>
      <c r="D77" s="9">
        <v>45698</v>
      </c>
      <c r="E77" t="s">
        <v>88</v>
      </c>
      <c r="F77" t="s">
        <v>648</v>
      </c>
      <c r="G77">
        <v>24</v>
      </c>
      <c r="H77">
        <v>99.12</v>
      </c>
      <c r="I77" t="s">
        <v>938</v>
      </c>
      <c r="K77" t="b">
        <f>IF(Table1[[#This Row],[dispatch_date]]-Table1[[#This Row],[order_date]] &gt;=0, TRUE, FALSE)</f>
        <v>1</v>
      </c>
    </row>
    <row r="78" spans="1:11" x14ac:dyDescent="0.2">
      <c r="A78" t="s">
        <v>1502</v>
      </c>
      <c r="B78" t="s">
        <v>1067</v>
      </c>
      <c r="C78" s="9">
        <v>45696</v>
      </c>
      <c r="D78" s="9">
        <v>45699</v>
      </c>
      <c r="E78" t="s">
        <v>71</v>
      </c>
      <c r="F78" t="s">
        <v>495</v>
      </c>
      <c r="G78">
        <v>24</v>
      </c>
      <c r="H78">
        <v>228.24</v>
      </c>
      <c r="I78" t="s">
        <v>1079</v>
      </c>
      <c r="K78" t="b">
        <f>IF(Table1[[#This Row],[dispatch_date]]-Table1[[#This Row],[order_date]] &gt;=0, TRUE, FALSE)</f>
        <v>1</v>
      </c>
    </row>
    <row r="79" spans="1:11" x14ac:dyDescent="0.2">
      <c r="A79" t="s">
        <v>1623</v>
      </c>
      <c r="B79" t="s">
        <v>1001</v>
      </c>
      <c r="C79" s="9">
        <v>45696</v>
      </c>
      <c r="D79" s="9">
        <v>45697</v>
      </c>
      <c r="E79" t="s">
        <v>84</v>
      </c>
      <c r="F79" t="s">
        <v>555</v>
      </c>
      <c r="G79">
        <v>12</v>
      </c>
      <c r="H79">
        <v>26.76</v>
      </c>
      <c r="I79" t="s">
        <v>916</v>
      </c>
      <c r="K79" t="b">
        <f>IF(Table1[[#This Row],[dispatch_date]]-Table1[[#This Row],[order_date]] &gt;=0, TRUE, FALSE)</f>
        <v>1</v>
      </c>
    </row>
    <row r="80" spans="1:11" x14ac:dyDescent="0.2">
      <c r="A80" t="s">
        <v>2089</v>
      </c>
      <c r="B80" t="s">
        <v>906</v>
      </c>
      <c r="C80" s="9">
        <v>45696</v>
      </c>
      <c r="D80" s="9">
        <v>45699</v>
      </c>
      <c r="E80" t="s">
        <v>99</v>
      </c>
      <c r="G80">
        <v>36</v>
      </c>
      <c r="H80">
        <v>266.04000000000002</v>
      </c>
      <c r="I80" t="s">
        <v>938</v>
      </c>
      <c r="K80" t="b">
        <f>IF(Table1[[#This Row],[dispatch_date]]-Table1[[#This Row],[order_date]] &gt;=0, TRUE, FALSE)</f>
        <v>1</v>
      </c>
    </row>
    <row r="81" spans="1:11" x14ac:dyDescent="0.2">
      <c r="A81" t="s">
        <v>2538</v>
      </c>
      <c r="B81" t="s">
        <v>1018</v>
      </c>
      <c r="C81" s="9">
        <v>45696</v>
      </c>
      <c r="D81" s="9">
        <v>45698</v>
      </c>
      <c r="E81" t="s">
        <v>116</v>
      </c>
      <c r="F81" t="s">
        <v>503</v>
      </c>
      <c r="G81">
        <v>72</v>
      </c>
      <c r="H81">
        <v>348.48</v>
      </c>
      <c r="I81" t="s">
        <v>916</v>
      </c>
      <c r="K81" t="b">
        <f>IF(Table1[[#This Row],[dispatch_date]]-Table1[[#This Row],[order_date]] &gt;=0, TRUE, FALSE)</f>
        <v>1</v>
      </c>
    </row>
    <row r="82" spans="1:11" x14ac:dyDescent="0.2">
      <c r="A82" t="s">
        <v>2831</v>
      </c>
      <c r="B82" t="s">
        <v>945</v>
      </c>
      <c r="C82" s="9">
        <v>45696</v>
      </c>
      <c r="D82" s="9">
        <v>45696</v>
      </c>
      <c r="E82" t="s">
        <v>71</v>
      </c>
      <c r="F82" t="s">
        <v>881</v>
      </c>
      <c r="G82">
        <v>24</v>
      </c>
      <c r="H82">
        <v>228.24</v>
      </c>
      <c r="I82" t="s">
        <v>938</v>
      </c>
      <c r="K82" t="b">
        <f>IF(Table1[[#This Row],[dispatch_date]]-Table1[[#This Row],[order_date]] &gt;=0, TRUE, FALSE)</f>
        <v>1</v>
      </c>
    </row>
    <row r="83" spans="1:11" x14ac:dyDescent="0.2">
      <c r="A83" t="s">
        <v>1172</v>
      </c>
      <c r="B83" t="s">
        <v>998</v>
      </c>
      <c r="C83" s="9">
        <v>45697</v>
      </c>
      <c r="D83" s="9">
        <v>45700</v>
      </c>
      <c r="E83" t="s">
        <v>78</v>
      </c>
      <c r="F83" t="s">
        <v>273</v>
      </c>
      <c r="G83">
        <v>36</v>
      </c>
      <c r="H83">
        <v>115.2</v>
      </c>
      <c r="I83" t="s">
        <v>938</v>
      </c>
      <c r="K83" t="b">
        <f>IF(Table1[[#This Row],[dispatch_date]]-Table1[[#This Row],[order_date]] &gt;=0, TRUE, FALSE)</f>
        <v>1</v>
      </c>
    </row>
    <row r="84" spans="1:11" x14ac:dyDescent="0.2">
      <c r="A84" t="s">
        <v>1180</v>
      </c>
      <c r="B84" t="s">
        <v>1064</v>
      </c>
      <c r="C84" s="9">
        <v>45697</v>
      </c>
      <c r="D84" s="9">
        <v>45697</v>
      </c>
      <c r="E84" t="s">
        <v>121</v>
      </c>
      <c r="F84" t="s">
        <v>440</v>
      </c>
      <c r="G84">
        <v>72</v>
      </c>
      <c r="H84">
        <v>924.48</v>
      </c>
      <c r="I84" t="s">
        <v>1079</v>
      </c>
      <c r="K84" t="b">
        <f>IF(Table1[[#This Row],[dispatch_date]]-Table1[[#This Row],[order_date]] &gt;=0, TRUE, FALSE)</f>
        <v>1</v>
      </c>
    </row>
    <row r="85" spans="1:11" x14ac:dyDescent="0.2">
      <c r="A85" t="s">
        <v>1800</v>
      </c>
      <c r="B85" t="s">
        <v>1034</v>
      </c>
      <c r="C85" s="9">
        <v>45697</v>
      </c>
      <c r="D85" s="9">
        <v>45700</v>
      </c>
      <c r="E85" t="s">
        <v>69</v>
      </c>
      <c r="G85">
        <v>24</v>
      </c>
      <c r="H85">
        <v>128.16</v>
      </c>
      <c r="I85" t="s">
        <v>938</v>
      </c>
      <c r="K85" t="b">
        <f>IF(Table1[[#This Row],[dispatch_date]]-Table1[[#This Row],[order_date]] &gt;=0, TRUE, FALSE)</f>
        <v>1</v>
      </c>
    </row>
    <row r="86" spans="1:11" x14ac:dyDescent="0.2">
      <c r="A86" t="s">
        <v>2172</v>
      </c>
      <c r="B86" t="s">
        <v>987</v>
      </c>
      <c r="C86" s="9">
        <v>45699</v>
      </c>
      <c r="D86" s="9">
        <v>45700</v>
      </c>
      <c r="E86" t="s">
        <v>8</v>
      </c>
      <c r="F86" t="s">
        <v>656</v>
      </c>
      <c r="G86">
        <v>12</v>
      </c>
      <c r="H86">
        <v>72.36</v>
      </c>
      <c r="I86" t="s">
        <v>1079</v>
      </c>
      <c r="K86" t="b">
        <f>IF(Table1[[#This Row],[dispatch_date]]-Table1[[#This Row],[order_date]] &gt;=0, TRUE, FALSE)</f>
        <v>1</v>
      </c>
    </row>
    <row r="87" spans="1:11" x14ac:dyDescent="0.2">
      <c r="A87" t="s">
        <v>2599</v>
      </c>
      <c r="B87" t="s">
        <v>929</v>
      </c>
      <c r="C87" s="9">
        <v>45699</v>
      </c>
      <c r="D87" s="9">
        <v>45700</v>
      </c>
      <c r="E87" t="s">
        <v>8</v>
      </c>
      <c r="F87" t="s">
        <v>599</v>
      </c>
      <c r="G87">
        <v>48</v>
      </c>
      <c r="H87">
        <v>274.97000000000003</v>
      </c>
      <c r="I87" t="s">
        <v>912</v>
      </c>
      <c r="K87" t="b">
        <f>IF(Table1[[#This Row],[dispatch_date]]-Table1[[#This Row],[order_date]] &gt;=0, TRUE, FALSE)</f>
        <v>1</v>
      </c>
    </row>
    <row r="88" spans="1:11" x14ac:dyDescent="0.2">
      <c r="A88" t="s">
        <v>2615</v>
      </c>
      <c r="B88" t="s">
        <v>1013</v>
      </c>
      <c r="C88" s="9">
        <v>45699</v>
      </c>
      <c r="D88" s="9">
        <v>45702</v>
      </c>
      <c r="E88" t="s">
        <v>123</v>
      </c>
      <c r="F88" t="s">
        <v>721</v>
      </c>
      <c r="G88">
        <v>36</v>
      </c>
      <c r="H88">
        <v>251.64</v>
      </c>
      <c r="I88" t="s">
        <v>956</v>
      </c>
      <c r="K88" t="b">
        <f>IF(Table1[[#This Row],[dispatch_date]]-Table1[[#This Row],[order_date]] &gt;=0, TRUE, FALSE)</f>
        <v>1</v>
      </c>
    </row>
    <row r="89" spans="1:11" x14ac:dyDescent="0.2">
      <c r="A89" t="s">
        <v>1797</v>
      </c>
      <c r="B89" t="s">
        <v>1034</v>
      </c>
      <c r="C89" s="9">
        <v>45700</v>
      </c>
      <c r="D89" s="9">
        <v>45702</v>
      </c>
      <c r="E89" t="s">
        <v>125</v>
      </c>
      <c r="F89" t="s">
        <v>736</v>
      </c>
      <c r="G89">
        <v>12</v>
      </c>
      <c r="H89">
        <v>91.56</v>
      </c>
      <c r="I89" t="s">
        <v>938</v>
      </c>
      <c r="K89" t="b">
        <f>IF(Table1[[#This Row],[dispatch_date]]-Table1[[#This Row],[order_date]] &gt;=0, TRUE, FALSE)</f>
        <v>1</v>
      </c>
    </row>
    <row r="90" spans="1:11" x14ac:dyDescent="0.2">
      <c r="A90" t="s">
        <v>2211</v>
      </c>
      <c r="B90" t="s">
        <v>958</v>
      </c>
      <c r="C90" s="9">
        <v>45700</v>
      </c>
      <c r="D90" s="9">
        <v>45703</v>
      </c>
      <c r="E90" t="s">
        <v>58</v>
      </c>
      <c r="F90" t="s">
        <v>372</v>
      </c>
      <c r="G90">
        <v>24</v>
      </c>
      <c r="H90">
        <v>151.19999999999999</v>
      </c>
      <c r="I90" t="s">
        <v>956</v>
      </c>
      <c r="K90" t="b">
        <f>IF(Table1[[#This Row],[dispatch_date]]-Table1[[#This Row],[order_date]] &gt;=0, TRUE, FALSE)</f>
        <v>1</v>
      </c>
    </row>
    <row r="91" spans="1:11" x14ac:dyDescent="0.2">
      <c r="A91" t="s">
        <v>2566</v>
      </c>
      <c r="B91" t="s">
        <v>945</v>
      </c>
      <c r="C91" s="9">
        <v>45993</v>
      </c>
      <c r="D91" s="9">
        <v>45993</v>
      </c>
      <c r="E91" t="s">
        <v>118</v>
      </c>
      <c r="F91" t="s">
        <v>396</v>
      </c>
      <c r="G91">
        <v>12</v>
      </c>
      <c r="H91">
        <v>157.68</v>
      </c>
      <c r="I91" t="s">
        <v>956</v>
      </c>
      <c r="K91" t="b">
        <f>IF(Table1[[#This Row],[dispatch_date]]-Table1[[#This Row],[order_date]] &gt;=0, TRUE, FALSE)</f>
        <v>1</v>
      </c>
    </row>
    <row r="92" spans="1:11" x14ac:dyDescent="0.2">
      <c r="A92" t="s">
        <v>2584</v>
      </c>
      <c r="B92" t="s">
        <v>985</v>
      </c>
      <c r="C92" s="9">
        <v>45700</v>
      </c>
      <c r="D92" s="9"/>
      <c r="E92" t="s">
        <v>97</v>
      </c>
      <c r="F92" t="s">
        <v>800</v>
      </c>
      <c r="G92">
        <v>12</v>
      </c>
      <c r="H92">
        <v>64.56</v>
      </c>
      <c r="I92" t="s">
        <v>1079</v>
      </c>
      <c r="K92" t="b">
        <f>IF(Table1[[#This Row],[dispatch_date]]-Table1[[#This Row],[order_date]] &gt;=0, TRUE, FALSE)</f>
        <v>0</v>
      </c>
    </row>
    <row r="93" spans="1:11" x14ac:dyDescent="0.2">
      <c r="A93" t="s">
        <v>2622</v>
      </c>
      <c r="B93" t="s">
        <v>1034</v>
      </c>
      <c r="C93" s="9">
        <v>45700</v>
      </c>
      <c r="D93" s="9">
        <v>45701</v>
      </c>
      <c r="E93" t="s">
        <v>82</v>
      </c>
      <c r="F93" t="s">
        <v>818</v>
      </c>
      <c r="G93">
        <v>48</v>
      </c>
      <c r="H93">
        <v>89.83</v>
      </c>
      <c r="I93" t="s">
        <v>938</v>
      </c>
      <c r="K93" t="b">
        <f>IF(Table1[[#This Row],[dispatch_date]]-Table1[[#This Row],[order_date]] &gt;=0, TRUE, FALSE)</f>
        <v>1</v>
      </c>
    </row>
    <row r="94" spans="1:11" x14ac:dyDescent="0.2">
      <c r="A94" t="s">
        <v>2794</v>
      </c>
      <c r="B94" t="s">
        <v>922</v>
      </c>
      <c r="C94" s="9">
        <v>45700</v>
      </c>
      <c r="D94" s="9">
        <v>45702</v>
      </c>
      <c r="E94" t="s">
        <v>65</v>
      </c>
      <c r="F94" t="s">
        <v>807</v>
      </c>
      <c r="G94">
        <v>72</v>
      </c>
      <c r="H94">
        <v>955.44</v>
      </c>
      <c r="I94" t="s">
        <v>912</v>
      </c>
      <c r="K94" t="b">
        <f>IF(Table1[[#This Row],[dispatch_date]]-Table1[[#This Row],[order_date]] &gt;=0, TRUE, FALSE)</f>
        <v>1</v>
      </c>
    </row>
    <row r="95" spans="1:11" x14ac:dyDescent="0.2">
      <c r="A95" t="s">
        <v>1585</v>
      </c>
      <c r="B95" t="s">
        <v>1006</v>
      </c>
      <c r="C95" s="9">
        <v>45701</v>
      </c>
      <c r="D95" s="9"/>
      <c r="E95" t="s">
        <v>65</v>
      </c>
      <c r="F95" t="s">
        <v>508</v>
      </c>
      <c r="G95">
        <v>12</v>
      </c>
      <c r="H95">
        <v>159.24</v>
      </c>
      <c r="I95" t="s">
        <v>916</v>
      </c>
      <c r="K95" t="b">
        <f>IF(Table1[[#This Row],[dispatch_date]]-Table1[[#This Row],[order_date]] &gt;=0, TRUE, FALSE)</f>
        <v>0</v>
      </c>
    </row>
    <row r="96" spans="1:11" x14ac:dyDescent="0.2">
      <c r="A96" t="s">
        <v>1709</v>
      </c>
      <c r="B96" t="s">
        <v>1052</v>
      </c>
      <c r="C96" s="9">
        <v>45701</v>
      </c>
      <c r="D96" s="9">
        <v>45702</v>
      </c>
      <c r="E96" t="s">
        <v>40</v>
      </c>
      <c r="F96" t="s">
        <v>823</v>
      </c>
      <c r="G96">
        <v>24</v>
      </c>
      <c r="H96">
        <v>88.69</v>
      </c>
      <c r="I96" t="s">
        <v>956</v>
      </c>
      <c r="K96" t="b">
        <f>IF(Table1[[#This Row],[dispatch_date]]-Table1[[#This Row],[order_date]] &gt;=0, TRUE, FALSE)</f>
        <v>1</v>
      </c>
    </row>
    <row r="97" spans="1:11" x14ac:dyDescent="0.2">
      <c r="A97" t="s">
        <v>2650</v>
      </c>
      <c r="B97" t="s">
        <v>942</v>
      </c>
      <c r="C97" s="9">
        <v>45701</v>
      </c>
      <c r="D97" s="9">
        <v>45703</v>
      </c>
      <c r="E97" t="s">
        <v>63</v>
      </c>
      <c r="G97">
        <v>24</v>
      </c>
      <c r="H97">
        <v>235.2</v>
      </c>
      <c r="I97" t="s">
        <v>916</v>
      </c>
      <c r="K97" t="b">
        <f>IF(Table1[[#This Row],[dispatch_date]]-Table1[[#This Row],[order_date]] &gt;=0, TRUE, FALSE)</f>
        <v>1</v>
      </c>
    </row>
    <row r="98" spans="1:11" x14ac:dyDescent="0.2">
      <c r="A98" t="s">
        <v>1431</v>
      </c>
      <c r="B98" t="s">
        <v>1034</v>
      </c>
      <c r="C98" s="9">
        <v>45702</v>
      </c>
      <c r="D98" s="9">
        <v>45703</v>
      </c>
      <c r="E98" t="s">
        <v>25</v>
      </c>
      <c r="F98" t="s">
        <v>392</v>
      </c>
      <c r="G98">
        <v>24</v>
      </c>
      <c r="H98">
        <v>133.19999999999999</v>
      </c>
      <c r="I98" t="s">
        <v>938</v>
      </c>
      <c r="K98" t="b">
        <f>IF(Table1[[#This Row],[dispatch_date]]-Table1[[#This Row],[order_date]] &gt;=0, TRUE, FALSE)</f>
        <v>1</v>
      </c>
    </row>
    <row r="99" spans="1:11" x14ac:dyDescent="0.2">
      <c r="A99" t="s">
        <v>1511</v>
      </c>
      <c r="B99" t="s">
        <v>960</v>
      </c>
      <c r="C99" s="9">
        <v>45702</v>
      </c>
      <c r="D99" s="9">
        <v>45704</v>
      </c>
      <c r="E99" t="s">
        <v>56</v>
      </c>
      <c r="F99" t="s">
        <v>606</v>
      </c>
      <c r="G99">
        <v>36</v>
      </c>
      <c r="H99">
        <v>211.68</v>
      </c>
      <c r="I99" t="s">
        <v>1079</v>
      </c>
      <c r="K99" t="b">
        <f>IF(Table1[[#This Row],[dispatch_date]]-Table1[[#This Row],[order_date]] &gt;=0, TRUE, FALSE)</f>
        <v>1</v>
      </c>
    </row>
    <row r="100" spans="1:11" x14ac:dyDescent="0.2">
      <c r="A100" t="s">
        <v>2660</v>
      </c>
      <c r="B100" t="s">
        <v>1027</v>
      </c>
      <c r="C100" s="9">
        <v>45702</v>
      </c>
      <c r="D100" s="9">
        <v>45702</v>
      </c>
      <c r="E100" t="s">
        <v>112</v>
      </c>
      <c r="F100" t="s">
        <v>677</v>
      </c>
      <c r="G100">
        <v>48</v>
      </c>
      <c r="H100">
        <v>288.48</v>
      </c>
      <c r="I100" t="s">
        <v>916</v>
      </c>
      <c r="K100" t="b">
        <f>IF(Table1[[#This Row],[dispatch_date]]-Table1[[#This Row],[order_date]] &gt;=0, TRUE, FALSE)</f>
        <v>1</v>
      </c>
    </row>
    <row r="101" spans="1:11" x14ac:dyDescent="0.2">
      <c r="A101" t="s">
        <v>2838</v>
      </c>
      <c r="B101" t="s">
        <v>1037</v>
      </c>
      <c r="C101" s="9">
        <v>45702</v>
      </c>
      <c r="D101" s="9">
        <v>45703</v>
      </c>
      <c r="E101" t="s">
        <v>36</v>
      </c>
      <c r="F101" t="s">
        <v>291</v>
      </c>
      <c r="G101">
        <v>72</v>
      </c>
      <c r="H101">
        <v>123.12</v>
      </c>
      <c r="I101" t="s">
        <v>938</v>
      </c>
      <c r="K101" t="b">
        <f>IF(Table1[[#This Row],[dispatch_date]]-Table1[[#This Row],[order_date]] &gt;=0, TRUE, FALSE)</f>
        <v>1</v>
      </c>
    </row>
    <row r="102" spans="1:11" x14ac:dyDescent="0.2">
      <c r="A102" t="s">
        <v>1512</v>
      </c>
      <c r="B102" t="s">
        <v>962</v>
      </c>
      <c r="C102" s="9">
        <v>45703</v>
      </c>
      <c r="D102" s="9">
        <v>45703</v>
      </c>
      <c r="E102" t="s">
        <v>56</v>
      </c>
      <c r="F102" t="s">
        <v>606</v>
      </c>
      <c r="G102">
        <v>36</v>
      </c>
      <c r="H102">
        <v>211.68</v>
      </c>
      <c r="I102" t="s">
        <v>956</v>
      </c>
      <c r="K102" t="b">
        <f>IF(Table1[[#This Row],[dispatch_date]]-Table1[[#This Row],[order_date]] &gt;=0, TRUE, FALSE)</f>
        <v>1</v>
      </c>
    </row>
    <row r="103" spans="1:11" x14ac:dyDescent="0.2">
      <c r="A103" t="s">
        <v>1743</v>
      </c>
      <c r="B103" t="s">
        <v>1034</v>
      </c>
      <c r="C103" s="9">
        <v>45703</v>
      </c>
      <c r="D103" s="9">
        <v>45706</v>
      </c>
      <c r="E103" t="s">
        <v>121</v>
      </c>
      <c r="F103" t="s">
        <v>493</v>
      </c>
      <c r="G103">
        <v>48</v>
      </c>
      <c r="H103">
        <v>616.32000000000005</v>
      </c>
      <c r="I103" t="s">
        <v>938</v>
      </c>
      <c r="K103" t="b">
        <f>IF(Table1[[#This Row],[dispatch_date]]-Table1[[#This Row],[order_date]] &gt;=0, TRUE, FALSE)</f>
        <v>1</v>
      </c>
    </row>
    <row r="104" spans="1:11" x14ac:dyDescent="0.2">
      <c r="A104" t="s">
        <v>1884</v>
      </c>
      <c r="B104" t="s">
        <v>929</v>
      </c>
      <c r="C104" s="9">
        <v>45703</v>
      </c>
      <c r="D104" s="9">
        <v>45704</v>
      </c>
      <c r="E104" t="s">
        <v>69</v>
      </c>
      <c r="F104" t="s">
        <v>846</v>
      </c>
      <c r="G104">
        <v>24</v>
      </c>
      <c r="H104">
        <v>128.16</v>
      </c>
      <c r="I104" t="s">
        <v>912</v>
      </c>
      <c r="K104" t="b">
        <f>IF(Table1[[#This Row],[dispatch_date]]-Table1[[#This Row],[order_date]] &gt;=0, TRUE, FALSE)</f>
        <v>1</v>
      </c>
    </row>
    <row r="105" spans="1:11" x14ac:dyDescent="0.2">
      <c r="A105" t="s">
        <v>2270</v>
      </c>
      <c r="B105" t="s">
        <v>906</v>
      </c>
      <c r="C105" s="9">
        <v>45703</v>
      </c>
      <c r="D105" s="9">
        <v>45706</v>
      </c>
      <c r="E105" t="s">
        <v>65</v>
      </c>
      <c r="G105">
        <v>12</v>
      </c>
      <c r="H105">
        <v>151.28</v>
      </c>
      <c r="I105" t="s">
        <v>938</v>
      </c>
      <c r="K105" t="b">
        <f>IF(Table1[[#This Row],[dispatch_date]]-Table1[[#This Row],[order_date]] &gt;=0, TRUE, FALSE)</f>
        <v>1</v>
      </c>
    </row>
    <row r="106" spans="1:11" x14ac:dyDescent="0.2">
      <c r="A106" t="s">
        <v>2428</v>
      </c>
      <c r="B106" t="s">
        <v>1049</v>
      </c>
      <c r="C106" s="9">
        <v>45703</v>
      </c>
      <c r="D106" s="9">
        <v>45706</v>
      </c>
      <c r="E106" t="s">
        <v>88</v>
      </c>
      <c r="F106" t="s">
        <v>883</v>
      </c>
      <c r="G106">
        <v>48</v>
      </c>
      <c r="H106">
        <v>188.33</v>
      </c>
      <c r="I106" t="s">
        <v>912</v>
      </c>
      <c r="K106" t="b">
        <f>IF(Table1[[#This Row],[dispatch_date]]-Table1[[#This Row],[order_date]] &gt;=0, TRUE, FALSE)</f>
        <v>1</v>
      </c>
    </row>
    <row r="107" spans="1:11" x14ac:dyDescent="0.2">
      <c r="A107" t="s">
        <v>1093</v>
      </c>
      <c r="B107" t="s">
        <v>1006</v>
      </c>
      <c r="C107" s="9">
        <v>45704</v>
      </c>
      <c r="D107" s="9">
        <v>45706</v>
      </c>
      <c r="E107" t="s">
        <v>112</v>
      </c>
      <c r="F107" t="s">
        <v>263</v>
      </c>
      <c r="G107">
        <v>24</v>
      </c>
      <c r="H107">
        <v>144.24</v>
      </c>
      <c r="I107" t="s">
        <v>912</v>
      </c>
      <c r="K107" t="b">
        <f>IF(Table1[[#This Row],[dispatch_date]]-Table1[[#This Row],[order_date]] &gt;=0, TRUE, FALSE)</f>
        <v>1</v>
      </c>
    </row>
    <row r="108" spans="1:11" x14ac:dyDescent="0.2">
      <c r="A108" t="s">
        <v>1291</v>
      </c>
      <c r="B108" t="s">
        <v>1064</v>
      </c>
      <c r="C108" s="9">
        <v>45704</v>
      </c>
      <c r="D108" s="9">
        <v>45705</v>
      </c>
      <c r="E108" t="s">
        <v>17</v>
      </c>
      <c r="F108" t="s">
        <v>585</v>
      </c>
      <c r="G108">
        <v>12</v>
      </c>
      <c r="H108">
        <v>71.88</v>
      </c>
      <c r="I108" t="s">
        <v>1079</v>
      </c>
      <c r="K108" t="b">
        <f>IF(Table1[[#This Row],[dispatch_date]]-Table1[[#This Row],[order_date]] &gt;=0, TRUE, FALSE)</f>
        <v>1</v>
      </c>
    </row>
    <row r="109" spans="1:11" x14ac:dyDescent="0.2">
      <c r="A109" t="s">
        <v>1994</v>
      </c>
      <c r="B109" t="s">
        <v>981</v>
      </c>
      <c r="C109" s="9">
        <v>45704</v>
      </c>
      <c r="D109" s="9">
        <v>45707</v>
      </c>
      <c r="E109" t="s">
        <v>17</v>
      </c>
      <c r="F109" t="s">
        <v>307</v>
      </c>
      <c r="G109">
        <v>36</v>
      </c>
      <c r="H109">
        <v>215.64</v>
      </c>
      <c r="I109" t="s">
        <v>956</v>
      </c>
      <c r="K109" t="b">
        <f>IF(Table1[[#This Row],[dispatch_date]]-Table1[[#This Row],[order_date]] &gt;=0, TRUE, FALSE)</f>
        <v>1</v>
      </c>
    </row>
    <row r="110" spans="1:11" x14ac:dyDescent="0.2">
      <c r="A110" t="s">
        <v>2354</v>
      </c>
      <c r="B110" t="s">
        <v>1077</v>
      </c>
      <c r="C110" s="9">
        <v>45704</v>
      </c>
      <c r="D110" s="9">
        <v>45706</v>
      </c>
      <c r="E110" t="s">
        <v>8</v>
      </c>
      <c r="G110">
        <v>36</v>
      </c>
      <c r="H110">
        <v>206.23</v>
      </c>
      <c r="I110" t="s">
        <v>1079</v>
      </c>
      <c r="K110" t="b">
        <f>IF(Table1[[#This Row],[dispatch_date]]-Table1[[#This Row],[order_date]] &gt;=0, TRUE, FALSE)</f>
        <v>1</v>
      </c>
    </row>
    <row r="111" spans="1:11" x14ac:dyDescent="0.2">
      <c r="A111" t="s">
        <v>1480</v>
      </c>
      <c r="B111" t="s">
        <v>960</v>
      </c>
      <c r="C111" s="9">
        <v>45705</v>
      </c>
      <c r="D111" s="9">
        <v>45707</v>
      </c>
      <c r="E111" t="s">
        <v>80</v>
      </c>
      <c r="G111">
        <v>24</v>
      </c>
      <c r="H111">
        <v>142.80000000000001</v>
      </c>
      <c r="I111" t="s">
        <v>1079</v>
      </c>
      <c r="K111" t="b">
        <f>IF(Table1[[#This Row],[dispatch_date]]-Table1[[#This Row],[order_date]] &gt;=0, TRUE, FALSE)</f>
        <v>1</v>
      </c>
    </row>
    <row r="112" spans="1:11" x14ac:dyDescent="0.2">
      <c r="A112" t="s">
        <v>2163</v>
      </c>
      <c r="B112" t="s">
        <v>925</v>
      </c>
      <c r="C112" s="9">
        <v>45705</v>
      </c>
      <c r="D112" s="9">
        <v>45706</v>
      </c>
      <c r="E112" t="s">
        <v>99</v>
      </c>
      <c r="G112">
        <v>48</v>
      </c>
      <c r="H112">
        <v>354.72</v>
      </c>
      <c r="I112" t="s">
        <v>927</v>
      </c>
      <c r="K112" t="b">
        <f>IF(Table1[[#This Row],[dispatch_date]]-Table1[[#This Row],[order_date]] &gt;=0, TRUE, FALSE)</f>
        <v>1</v>
      </c>
    </row>
    <row r="113" spans="1:11" x14ac:dyDescent="0.2">
      <c r="A113" t="s">
        <v>2631</v>
      </c>
      <c r="B113" t="s">
        <v>1016</v>
      </c>
      <c r="C113" s="9">
        <v>45705</v>
      </c>
      <c r="D113" s="9">
        <v>45707</v>
      </c>
      <c r="E113" t="s">
        <v>121</v>
      </c>
      <c r="F113" t="s">
        <v>440</v>
      </c>
      <c r="G113">
        <v>36</v>
      </c>
      <c r="H113">
        <v>462.24</v>
      </c>
      <c r="I113" t="s">
        <v>912</v>
      </c>
      <c r="K113" t="b">
        <f>IF(Table1[[#This Row],[dispatch_date]]-Table1[[#This Row],[order_date]] &gt;=0, TRUE, FALSE)</f>
        <v>1</v>
      </c>
    </row>
    <row r="114" spans="1:11" x14ac:dyDescent="0.2">
      <c r="A114" t="s">
        <v>1332</v>
      </c>
      <c r="B114" t="s">
        <v>1049</v>
      </c>
      <c r="C114" s="9">
        <v>45706</v>
      </c>
      <c r="D114" s="9">
        <v>45707</v>
      </c>
      <c r="E114" t="s">
        <v>28</v>
      </c>
      <c r="F114" t="s">
        <v>435</v>
      </c>
      <c r="G114">
        <v>24</v>
      </c>
      <c r="H114">
        <v>137.76</v>
      </c>
      <c r="I114" t="s">
        <v>938</v>
      </c>
      <c r="K114" t="b">
        <f>IF(Table1[[#This Row],[dispatch_date]]-Table1[[#This Row],[order_date]] &gt;=0, TRUE, FALSE)</f>
        <v>1</v>
      </c>
    </row>
    <row r="115" spans="1:11" x14ac:dyDescent="0.2">
      <c r="A115" t="s">
        <v>2031</v>
      </c>
      <c r="B115" t="s">
        <v>1069</v>
      </c>
      <c r="C115" s="9">
        <v>45706</v>
      </c>
      <c r="D115" s="9">
        <v>45709</v>
      </c>
      <c r="E115" t="s">
        <v>42</v>
      </c>
      <c r="F115" t="s">
        <v>695</v>
      </c>
      <c r="G115">
        <v>12</v>
      </c>
      <c r="H115">
        <v>39.24</v>
      </c>
      <c r="I115" t="s">
        <v>956</v>
      </c>
      <c r="K115" t="b">
        <f>IF(Table1[[#This Row],[dispatch_date]]-Table1[[#This Row],[order_date]] &gt;=0, TRUE, FALSE)</f>
        <v>1</v>
      </c>
    </row>
    <row r="116" spans="1:11" x14ac:dyDescent="0.2">
      <c r="A116" t="s">
        <v>2553</v>
      </c>
      <c r="B116" t="s">
        <v>942</v>
      </c>
      <c r="C116" s="9">
        <v>45706</v>
      </c>
      <c r="D116" s="9">
        <v>45707</v>
      </c>
      <c r="E116" t="s">
        <v>84</v>
      </c>
      <c r="F116" t="s">
        <v>343</v>
      </c>
      <c r="G116">
        <v>6</v>
      </c>
      <c r="H116">
        <v>13.38</v>
      </c>
      <c r="I116" t="s">
        <v>956</v>
      </c>
      <c r="K116" t="b">
        <f>IF(Table1[[#This Row],[dispatch_date]]-Table1[[#This Row],[order_date]] &gt;=0, TRUE, FALSE)</f>
        <v>1</v>
      </c>
    </row>
    <row r="117" spans="1:11" x14ac:dyDescent="0.2">
      <c r="A117" t="s">
        <v>1228</v>
      </c>
      <c r="B117" t="s">
        <v>1029</v>
      </c>
      <c r="C117" s="9">
        <v>45707</v>
      </c>
      <c r="D117" s="9">
        <v>45710</v>
      </c>
      <c r="E117" t="s">
        <v>93</v>
      </c>
      <c r="F117" t="s">
        <v>853</v>
      </c>
      <c r="G117">
        <v>12</v>
      </c>
      <c r="H117">
        <v>33.479999999999997</v>
      </c>
      <c r="I117" t="s">
        <v>956</v>
      </c>
      <c r="K117" t="b">
        <f>IF(Table1[[#This Row],[dispatch_date]]-Table1[[#This Row],[order_date]] &gt;=0, TRUE, FALSE)</f>
        <v>1</v>
      </c>
    </row>
    <row r="118" spans="1:11" x14ac:dyDescent="0.2">
      <c r="A118" t="s">
        <v>1845</v>
      </c>
      <c r="B118" t="s">
        <v>1024</v>
      </c>
      <c r="C118" s="9">
        <v>45707</v>
      </c>
      <c r="D118" s="9">
        <v>45709</v>
      </c>
      <c r="E118" t="s">
        <v>125</v>
      </c>
      <c r="G118">
        <v>72</v>
      </c>
      <c r="H118">
        <v>549.36</v>
      </c>
      <c r="I118" t="s">
        <v>938</v>
      </c>
      <c r="K118" t="b">
        <f>IF(Table1[[#This Row],[dispatch_date]]-Table1[[#This Row],[order_date]] &gt;=0, TRUE, FALSE)</f>
        <v>1</v>
      </c>
    </row>
    <row r="119" spans="1:11" x14ac:dyDescent="0.2">
      <c r="A119" t="s">
        <v>1946</v>
      </c>
      <c r="B119" t="s">
        <v>998</v>
      </c>
      <c r="C119" s="9">
        <v>45707</v>
      </c>
      <c r="D119" s="9"/>
      <c r="E119" t="s">
        <v>116</v>
      </c>
      <c r="F119" t="s">
        <v>638</v>
      </c>
      <c r="G119">
        <v>72</v>
      </c>
      <c r="H119">
        <v>348.48</v>
      </c>
      <c r="I119" t="s">
        <v>938</v>
      </c>
      <c r="K119" t="b">
        <f>IF(Table1[[#This Row],[dispatch_date]]-Table1[[#This Row],[order_date]] &gt;=0, TRUE, FALSE)</f>
        <v>0</v>
      </c>
    </row>
    <row r="120" spans="1:11" x14ac:dyDescent="0.2">
      <c r="A120" t="s">
        <v>1601</v>
      </c>
      <c r="B120" t="s">
        <v>932</v>
      </c>
      <c r="C120" s="9">
        <v>45708</v>
      </c>
      <c r="D120" s="9">
        <v>45709</v>
      </c>
      <c r="E120" t="s">
        <v>56</v>
      </c>
      <c r="F120" t="s">
        <v>606</v>
      </c>
      <c r="G120">
        <v>36</v>
      </c>
      <c r="H120">
        <v>211.68</v>
      </c>
      <c r="I120" t="s">
        <v>956</v>
      </c>
      <c r="K120" t="b">
        <f>IF(Table1[[#This Row],[dispatch_date]]-Table1[[#This Row],[order_date]] &gt;=0, TRUE, FALSE)</f>
        <v>1</v>
      </c>
    </row>
    <row r="121" spans="1:11" x14ac:dyDescent="0.2">
      <c r="A121" t="s">
        <v>1756</v>
      </c>
      <c r="B121" t="s">
        <v>952</v>
      </c>
      <c r="C121" s="9">
        <v>45708</v>
      </c>
      <c r="D121" s="9">
        <v>45711</v>
      </c>
      <c r="E121" t="s">
        <v>44</v>
      </c>
      <c r="G121">
        <v>12</v>
      </c>
      <c r="H121">
        <v>72.599999999999994</v>
      </c>
      <c r="I121" t="s">
        <v>938</v>
      </c>
      <c r="K121" t="b">
        <f>IF(Table1[[#This Row],[dispatch_date]]-Table1[[#This Row],[order_date]] &gt;=0, TRUE, FALSE)</f>
        <v>1</v>
      </c>
    </row>
    <row r="122" spans="1:11" x14ac:dyDescent="0.2">
      <c r="A122" t="s">
        <v>1366</v>
      </c>
      <c r="B122" t="s">
        <v>1018</v>
      </c>
      <c r="C122" s="9">
        <v>45709</v>
      </c>
      <c r="D122" s="9">
        <v>45710</v>
      </c>
      <c r="E122" t="s">
        <v>123</v>
      </c>
      <c r="F122" t="s">
        <v>855</v>
      </c>
      <c r="G122">
        <v>48</v>
      </c>
      <c r="H122">
        <v>335.52</v>
      </c>
      <c r="I122" t="s">
        <v>916</v>
      </c>
      <c r="K122" t="b">
        <f>IF(Table1[[#This Row],[dispatch_date]]-Table1[[#This Row],[order_date]] &gt;=0, TRUE, FALSE)</f>
        <v>1</v>
      </c>
    </row>
    <row r="123" spans="1:11" x14ac:dyDescent="0.2">
      <c r="A123" t="s">
        <v>2318</v>
      </c>
      <c r="B123" t="s">
        <v>1069</v>
      </c>
      <c r="C123" s="9">
        <v>45709</v>
      </c>
      <c r="D123" s="9">
        <v>45709</v>
      </c>
      <c r="E123" t="s">
        <v>84</v>
      </c>
      <c r="F123" t="s">
        <v>555</v>
      </c>
      <c r="G123">
        <v>12</v>
      </c>
      <c r="H123">
        <v>26.76</v>
      </c>
      <c r="I123" t="s">
        <v>956</v>
      </c>
      <c r="K123" t="b">
        <f>IF(Table1[[#This Row],[dispatch_date]]-Table1[[#This Row],[order_date]] &gt;=0, TRUE, FALSE)</f>
        <v>1</v>
      </c>
    </row>
    <row r="124" spans="1:11" x14ac:dyDescent="0.2">
      <c r="A124" t="s">
        <v>2685</v>
      </c>
      <c r="B124" t="s">
        <v>1056</v>
      </c>
      <c r="C124" s="9">
        <v>45709</v>
      </c>
      <c r="D124" s="9">
        <v>45712</v>
      </c>
      <c r="E124" t="s">
        <v>116</v>
      </c>
      <c r="F124" t="s">
        <v>503</v>
      </c>
      <c r="G124">
        <v>12</v>
      </c>
      <c r="H124">
        <v>58.08</v>
      </c>
      <c r="I124" t="s">
        <v>927</v>
      </c>
      <c r="K124" t="b">
        <f>IF(Table1[[#This Row],[dispatch_date]]-Table1[[#This Row],[order_date]] &gt;=0, TRUE, FALSE)</f>
        <v>1</v>
      </c>
    </row>
    <row r="125" spans="1:11" x14ac:dyDescent="0.2">
      <c r="A125" t="s">
        <v>1128</v>
      </c>
      <c r="B125" t="s">
        <v>1018</v>
      </c>
      <c r="C125" s="9">
        <v>45710</v>
      </c>
      <c r="D125" s="9">
        <v>45712</v>
      </c>
      <c r="E125" t="s">
        <v>71</v>
      </c>
      <c r="F125" t="s">
        <v>881</v>
      </c>
      <c r="G125">
        <v>24</v>
      </c>
      <c r="H125">
        <v>228.24</v>
      </c>
      <c r="I125" t="s">
        <v>916</v>
      </c>
      <c r="K125" t="b">
        <f>IF(Table1[[#This Row],[dispatch_date]]-Table1[[#This Row],[order_date]] &gt;=0, TRUE, FALSE)</f>
        <v>1</v>
      </c>
    </row>
    <row r="126" spans="1:11" x14ac:dyDescent="0.2">
      <c r="A126" t="s">
        <v>2043</v>
      </c>
      <c r="B126" t="s">
        <v>976</v>
      </c>
      <c r="C126" s="9">
        <v>45710</v>
      </c>
      <c r="D126" s="9">
        <v>45713</v>
      </c>
      <c r="E126" t="s">
        <v>108</v>
      </c>
      <c r="F126" t="s">
        <v>797</v>
      </c>
      <c r="G126">
        <v>36</v>
      </c>
      <c r="H126">
        <v>257.04000000000002</v>
      </c>
      <c r="I126" t="s">
        <v>938</v>
      </c>
      <c r="K126" t="b">
        <f>IF(Table1[[#This Row],[dispatch_date]]-Table1[[#This Row],[order_date]] &gt;=0, TRUE, FALSE)</f>
        <v>1</v>
      </c>
    </row>
    <row r="127" spans="1:11" x14ac:dyDescent="0.2">
      <c r="A127" t="s">
        <v>2382</v>
      </c>
      <c r="B127" t="s">
        <v>910</v>
      </c>
      <c r="C127" s="9">
        <v>45710</v>
      </c>
      <c r="D127" s="9">
        <v>45711</v>
      </c>
      <c r="E127" t="s">
        <v>103</v>
      </c>
      <c r="F127" t="s">
        <v>581</v>
      </c>
      <c r="G127">
        <v>24</v>
      </c>
      <c r="H127">
        <v>164.39</v>
      </c>
      <c r="I127" t="s">
        <v>912</v>
      </c>
      <c r="K127" t="b">
        <f>IF(Table1[[#This Row],[dispatch_date]]-Table1[[#This Row],[order_date]] &gt;=0, TRUE, FALSE)</f>
        <v>1</v>
      </c>
    </row>
    <row r="128" spans="1:11" x14ac:dyDescent="0.2">
      <c r="A128" t="s">
        <v>1089</v>
      </c>
      <c r="B128" t="s">
        <v>1029</v>
      </c>
      <c r="C128" s="9">
        <v>45711</v>
      </c>
      <c r="D128" s="9">
        <v>45711</v>
      </c>
      <c r="E128" t="s">
        <v>95</v>
      </c>
      <c r="F128" t="s">
        <v>739</v>
      </c>
      <c r="G128">
        <v>36</v>
      </c>
      <c r="H128">
        <v>141.84</v>
      </c>
      <c r="I128" t="s">
        <v>938</v>
      </c>
      <c r="K128" t="b">
        <f>IF(Table1[[#This Row],[dispatch_date]]-Table1[[#This Row],[order_date]] &gt;=0, TRUE, FALSE)</f>
        <v>1</v>
      </c>
    </row>
    <row r="129" spans="1:11" x14ac:dyDescent="0.2">
      <c r="A129" t="s">
        <v>1125</v>
      </c>
      <c r="B129" t="s">
        <v>1069</v>
      </c>
      <c r="C129" s="9">
        <v>45711</v>
      </c>
      <c r="D129" s="9">
        <v>45714</v>
      </c>
      <c r="E129" t="s">
        <v>121</v>
      </c>
      <c r="F129" t="s">
        <v>493</v>
      </c>
      <c r="G129">
        <v>36</v>
      </c>
      <c r="H129">
        <v>462.24</v>
      </c>
      <c r="I129" t="s">
        <v>956</v>
      </c>
      <c r="K129" t="b">
        <f>IF(Table1[[#This Row],[dispatch_date]]-Table1[[#This Row],[order_date]] &gt;=0, TRUE, FALSE)</f>
        <v>1</v>
      </c>
    </row>
    <row r="130" spans="1:11" x14ac:dyDescent="0.2">
      <c r="A130" t="s">
        <v>2559</v>
      </c>
      <c r="B130" t="s">
        <v>998</v>
      </c>
      <c r="C130" s="9">
        <v>45711</v>
      </c>
      <c r="D130" s="9">
        <v>45711</v>
      </c>
      <c r="E130" t="s">
        <v>99</v>
      </c>
      <c r="F130" t="s">
        <v>595</v>
      </c>
      <c r="G130">
        <v>12</v>
      </c>
      <c r="H130">
        <v>88.68</v>
      </c>
      <c r="I130" t="s">
        <v>938</v>
      </c>
      <c r="K130" t="b">
        <f>IF(Table1[[#This Row],[dispatch_date]]-Table1[[#This Row],[order_date]] &gt;=0, TRUE, FALSE)</f>
        <v>1</v>
      </c>
    </row>
    <row r="131" spans="1:11" x14ac:dyDescent="0.2">
      <c r="A131" t="s">
        <v>2832</v>
      </c>
      <c r="B131" t="s">
        <v>998</v>
      </c>
      <c r="C131" s="9">
        <v>45711</v>
      </c>
      <c r="D131" s="9">
        <v>45714</v>
      </c>
      <c r="E131" t="s">
        <v>84</v>
      </c>
      <c r="F131" t="s">
        <v>316</v>
      </c>
      <c r="G131">
        <v>36</v>
      </c>
      <c r="H131">
        <v>80.28</v>
      </c>
      <c r="I131" t="s">
        <v>1079</v>
      </c>
      <c r="K131" t="b">
        <f>IF(Table1[[#This Row],[dispatch_date]]-Table1[[#This Row],[order_date]] &gt;=0, TRUE, FALSE)</f>
        <v>1</v>
      </c>
    </row>
    <row r="132" spans="1:11" x14ac:dyDescent="0.2">
      <c r="A132" t="s">
        <v>1337</v>
      </c>
      <c r="B132" t="s">
        <v>960</v>
      </c>
      <c r="C132" s="9">
        <v>45712</v>
      </c>
      <c r="D132" s="9">
        <v>45714</v>
      </c>
      <c r="E132" t="s">
        <v>56</v>
      </c>
      <c r="G132">
        <v>24</v>
      </c>
      <c r="H132">
        <v>134.06</v>
      </c>
      <c r="I132" t="s">
        <v>938</v>
      </c>
      <c r="K132" t="b">
        <f>IF(Table1[[#This Row],[dispatch_date]]-Table1[[#This Row],[order_date]] &gt;=0, TRUE, FALSE)</f>
        <v>1</v>
      </c>
    </row>
    <row r="133" spans="1:11" x14ac:dyDescent="0.2">
      <c r="A133" t="s">
        <v>1771</v>
      </c>
      <c r="B133" t="s">
        <v>1060</v>
      </c>
      <c r="C133" s="9">
        <v>45712</v>
      </c>
      <c r="D133" s="9">
        <v>45714</v>
      </c>
      <c r="E133" t="s">
        <v>103</v>
      </c>
      <c r="F133" t="s">
        <v>887</v>
      </c>
      <c r="G133">
        <v>24</v>
      </c>
      <c r="H133">
        <v>164.39</v>
      </c>
      <c r="I133" t="s">
        <v>956</v>
      </c>
      <c r="K133" t="b">
        <f>IF(Table1[[#This Row],[dispatch_date]]-Table1[[#This Row],[order_date]] &gt;=0, TRUE, FALSE)</f>
        <v>1</v>
      </c>
    </row>
    <row r="134" spans="1:11" x14ac:dyDescent="0.2">
      <c r="A134" t="s">
        <v>2117</v>
      </c>
      <c r="B134" t="s">
        <v>979</v>
      </c>
      <c r="C134" s="9">
        <v>45712</v>
      </c>
      <c r="D134" s="9">
        <v>45713</v>
      </c>
      <c r="E134" t="s">
        <v>52</v>
      </c>
      <c r="F134" t="s">
        <v>732</v>
      </c>
      <c r="G134">
        <v>6</v>
      </c>
      <c r="H134">
        <v>29.58</v>
      </c>
      <c r="I134" t="s">
        <v>927</v>
      </c>
      <c r="K134" t="b">
        <f>IF(Table1[[#This Row],[dispatch_date]]-Table1[[#This Row],[order_date]] &gt;=0, TRUE, FALSE)</f>
        <v>1</v>
      </c>
    </row>
    <row r="135" spans="1:11" x14ac:dyDescent="0.2">
      <c r="A135" t="s">
        <v>2044</v>
      </c>
      <c r="B135" t="s">
        <v>906</v>
      </c>
      <c r="C135" s="9">
        <v>45713</v>
      </c>
      <c r="D135" s="9">
        <v>45713</v>
      </c>
      <c r="E135" t="s">
        <v>58</v>
      </c>
      <c r="F135" t="s">
        <v>505</v>
      </c>
      <c r="G135">
        <v>36</v>
      </c>
      <c r="H135">
        <v>226.8</v>
      </c>
      <c r="I135" t="s">
        <v>938</v>
      </c>
      <c r="K135" t="b">
        <f>IF(Table1[[#This Row],[dispatch_date]]-Table1[[#This Row],[order_date]] &gt;=0, TRUE, FALSE)</f>
        <v>1</v>
      </c>
    </row>
    <row r="136" spans="1:11" x14ac:dyDescent="0.2">
      <c r="A136" t="s">
        <v>1870</v>
      </c>
      <c r="B136" t="s">
        <v>945</v>
      </c>
      <c r="C136" s="9">
        <v>45714</v>
      </c>
      <c r="D136" s="9">
        <v>45716</v>
      </c>
      <c r="E136" t="s">
        <v>69</v>
      </c>
      <c r="G136">
        <v>6</v>
      </c>
      <c r="H136">
        <v>30.44</v>
      </c>
      <c r="I136" t="s">
        <v>938</v>
      </c>
      <c r="K136" t="b">
        <f>IF(Table1[[#This Row],[dispatch_date]]-Table1[[#This Row],[order_date]] &gt;=0, TRUE, FALSE)</f>
        <v>1</v>
      </c>
    </row>
    <row r="137" spans="1:11" x14ac:dyDescent="0.2">
      <c r="A137" t="s">
        <v>1664</v>
      </c>
      <c r="B137" t="s">
        <v>1074</v>
      </c>
      <c r="C137" s="9">
        <v>45715</v>
      </c>
      <c r="D137" s="9">
        <v>45718</v>
      </c>
      <c r="E137" t="s">
        <v>84</v>
      </c>
      <c r="G137">
        <v>72</v>
      </c>
      <c r="H137">
        <v>160.56</v>
      </c>
      <c r="I137" t="s">
        <v>916</v>
      </c>
      <c r="K137" t="b">
        <f>IF(Table1[[#This Row],[dispatch_date]]-Table1[[#This Row],[order_date]] &gt;=0, TRUE, FALSE)</f>
        <v>1</v>
      </c>
    </row>
    <row r="138" spans="1:11" x14ac:dyDescent="0.2">
      <c r="A138" t="s">
        <v>2162</v>
      </c>
      <c r="B138" t="s">
        <v>954</v>
      </c>
      <c r="C138" s="9">
        <v>45715</v>
      </c>
      <c r="D138" s="9">
        <v>45716</v>
      </c>
      <c r="E138" t="s">
        <v>127</v>
      </c>
      <c r="F138" t="s">
        <v>483</v>
      </c>
      <c r="G138">
        <v>6</v>
      </c>
      <c r="H138">
        <v>24.6</v>
      </c>
      <c r="I138" t="s">
        <v>956</v>
      </c>
      <c r="K138" t="b">
        <f>IF(Table1[[#This Row],[dispatch_date]]-Table1[[#This Row],[order_date]] &gt;=0, TRUE, FALSE)</f>
        <v>1</v>
      </c>
    </row>
    <row r="139" spans="1:11" x14ac:dyDescent="0.2">
      <c r="A139" t="s">
        <v>2319</v>
      </c>
      <c r="B139" t="s">
        <v>1040</v>
      </c>
      <c r="C139" s="9">
        <v>45715</v>
      </c>
      <c r="D139" s="9">
        <v>45718</v>
      </c>
      <c r="E139" t="s">
        <v>30</v>
      </c>
      <c r="F139" t="s">
        <v>872</v>
      </c>
      <c r="G139">
        <v>36</v>
      </c>
      <c r="H139">
        <v>86.4</v>
      </c>
      <c r="I139" t="s">
        <v>916</v>
      </c>
      <c r="K139" t="b">
        <f>IF(Table1[[#This Row],[dispatch_date]]-Table1[[#This Row],[order_date]] &gt;=0, TRUE, FALSE)</f>
        <v>1</v>
      </c>
    </row>
    <row r="140" spans="1:11" x14ac:dyDescent="0.2">
      <c r="A140" t="s">
        <v>1685</v>
      </c>
      <c r="B140" t="s">
        <v>914</v>
      </c>
      <c r="C140" s="9">
        <v>45716</v>
      </c>
      <c r="D140" s="9">
        <v>45716</v>
      </c>
      <c r="E140" t="s">
        <v>82</v>
      </c>
      <c r="G140">
        <v>72</v>
      </c>
      <c r="H140">
        <v>141.84</v>
      </c>
      <c r="I140" t="s">
        <v>916</v>
      </c>
      <c r="K140" t="b">
        <f>IF(Table1[[#This Row],[dispatch_date]]-Table1[[#This Row],[order_date]] &gt;=0, TRUE, FALSE)</f>
        <v>1</v>
      </c>
    </row>
    <row r="141" spans="1:11" x14ac:dyDescent="0.2">
      <c r="A141" t="s">
        <v>1849</v>
      </c>
      <c r="B141" t="s">
        <v>1006</v>
      </c>
      <c r="C141" s="9">
        <v>45716</v>
      </c>
      <c r="D141" s="9">
        <v>45716</v>
      </c>
      <c r="E141" t="s">
        <v>80</v>
      </c>
      <c r="F141" t="s">
        <v>352</v>
      </c>
      <c r="G141">
        <v>6</v>
      </c>
      <c r="H141">
        <v>35.700000000000003</v>
      </c>
      <c r="I141" t="s">
        <v>912</v>
      </c>
      <c r="K141" t="b">
        <f>IF(Table1[[#This Row],[dispatch_date]]-Table1[[#This Row],[order_date]] &gt;=0, TRUE, FALSE)</f>
        <v>1</v>
      </c>
    </row>
    <row r="142" spans="1:11" x14ac:dyDescent="0.2">
      <c r="A142" t="s">
        <v>2562</v>
      </c>
      <c r="B142" t="s">
        <v>965</v>
      </c>
      <c r="C142" s="9">
        <v>45716</v>
      </c>
      <c r="D142" s="9">
        <v>45717</v>
      </c>
      <c r="E142" t="s">
        <v>58</v>
      </c>
      <c r="F142" t="s">
        <v>505</v>
      </c>
      <c r="G142">
        <v>36</v>
      </c>
      <c r="H142">
        <v>215.46</v>
      </c>
      <c r="I142" t="s">
        <v>956</v>
      </c>
      <c r="K142" t="b">
        <f>IF(Table1[[#This Row],[dispatch_date]]-Table1[[#This Row],[order_date]] &gt;=0, TRUE, FALSE)</f>
        <v>1</v>
      </c>
    </row>
    <row r="143" spans="1:11" x14ac:dyDescent="0.2">
      <c r="A143" t="s">
        <v>1445</v>
      </c>
      <c r="B143" t="s">
        <v>1077</v>
      </c>
      <c r="C143" s="9">
        <v>45717</v>
      </c>
      <c r="D143" s="9">
        <v>45719</v>
      </c>
      <c r="E143" t="s">
        <v>17</v>
      </c>
      <c r="F143" t="s">
        <v>307</v>
      </c>
      <c r="G143">
        <v>48</v>
      </c>
      <c r="H143">
        <v>287.52</v>
      </c>
      <c r="I143" t="s">
        <v>1079</v>
      </c>
      <c r="K143" t="b">
        <f>IF(Table1[[#This Row],[dispatch_date]]-Table1[[#This Row],[order_date]] &gt;=0, TRUE, FALSE)</f>
        <v>1</v>
      </c>
    </row>
    <row r="144" spans="1:11" x14ac:dyDescent="0.2">
      <c r="A144" t="s">
        <v>1634</v>
      </c>
      <c r="B144" t="s">
        <v>914</v>
      </c>
      <c r="C144" s="9">
        <v>45717</v>
      </c>
      <c r="D144" s="9">
        <v>45718</v>
      </c>
      <c r="E144" t="s">
        <v>28</v>
      </c>
      <c r="F144" t="s">
        <v>329</v>
      </c>
      <c r="G144">
        <v>36</v>
      </c>
      <c r="H144">
        <v>206.64</v>
      </c>
      <c r="I144" t="s">
        <v>916</v>
      </c>
      <c r="K144" t="b">
        <f>IF(Table1[[#This Row],[dispatch_date]]-Table1[[#This Row],[order_date]] &gt;=0, TRUE, FALSE)</f>
        <v>1</v>
      </c>
    </row>
    <row r="145" spans="1:11" x14ac:dyDescent="0.2">
      <c r="A145" t="s">
        <v>2263</v>
      </c>
      <c r="B145" t="s">
        <v>968</v>
      </c>
      <c r="C145" s="9">
        <v>45717</v>
      </c>
      <c r="D145" s="9">
        <v>45719</v>
      </c>
      <c r="E145" t="s">
        <v>52</v>
      </c>
      <c r="F145" t="s">
        <v>714</v>
      </c>
      <c r="G145">
        <v>6</v>
      </c>
      <c r="H145">
        <v>29.58</v>
      </c>
      <c r="I145" t="s">
        <v>1079</v>
      </c>
      <c r="K145" t="b">
        <f>IF(Table1[[#This Row],[dispatch_date]]-Table1[[#This Row],[order_date]] &gt;=0, TRUE, FALSE)</f>
        <v>1</v>
      </c>
    </row>
    <row r="146" spans="1:11" x14ac:dyDescent="0.2">
      <c r="A146" t="s">
        <v>2470</v>
      </c>
      <c r="B146" t="s">
        <v>906</v>
      </c>
      <c r="C146" s="9">
        <v>45717</v>
      </c>
      <c r="D146" s="9">
        <v>45718</v>
      </c>
      <c r="E146" t="s">
        <v>38</v>
      </c>
      <c r="F146" t="s">
        <v>889</v>
      </c>
      <c r="G146">
        <v>48</v>
      </c>
      <c r="H146">
        <v>244.8</v>
      </c>
      <c r="I146" t="s">
        <v>938</v>
      </c>
      <c r="K146" t="b">
        <f>IF(Table1[[#This Row],[dispatch_date]]-Table1[[#This Row],[order_date]] &gt;=0, TRUE, FALSE)</f>
        <v>1</v>
      </c>
    </row>
    <row r="147" spans="1:11" x14ac:dyDescent="0.2">
      <c r="A147" t="s">
        <v>2500</v>
      </c>
      <c r="B147" t="s">
        <v>1080</v>
      </c>
      <c r="C147" s="9">
        <v>45717</v>
      </c>
      <c r="D147" s="9">
        <v>45720</v>
      </c>
      <c r="E147" t="s">
        <v>95</v>
      </c>
      <c r="F147" t="s">
        <v>321</v>
      </c>
      <c r="G147">
        <v>48</v>
      </c>
      <c r="H147">
        <v>189.12</v>
      </c>
      <c r="I147" t="s">
        <v>916</v>
      </c>
      <c r="K147" t="b">
        <f>IF(Table1[[#This Row],[dispatch_date]]-Table1[[#This Row],[order_date]] &gt;=0, TRUE, FALSE)</f>
        <v>1</v>
      </c>
    </row>
    <row r="148" spans="1:11" x14ac:dyDescent="0.2">
      <c r="A148" t="s">
        <v>1420</v>
      </c>
      <c r="B148" t="s">
        <v>1013</v>
      </c>
      <c r="C148" s="9">
        <v>45691</v>
      </c>
      <c r="D148" s="9">
        <v>45692</v>
      </c>
      <c r="E148" t="s">
        <v>123</v>
      </c>
      <c r="F148" t="s">
        <v>855</v>
      </c>
      <c r="G148">
        <v>24</v>
      </c>
      <c r="H148">
        <v>167.76</v>
      </c>
      <c r="I148" t="s">
        <v>912</v>
      </c>
      <c r="J148" t="s">
        <v>3134</v>
      </c>
      <c r="K148" t="b">
        <f>IF(Table1[[#This Row],[dispatch_date]]-Table1[[#This Row],[order_date]] &gt;=0, TRUE, FALSE)</f>
        <v>1</v>
      </c>
    </row>
    <row r="149" spans="1:11" x14ac:dyDescent="0.2">
      <c r="A149" t="s">
        <v>1718</v>
      </c>
      <c r="B149" t="s">
        <v>1021</v>
      </c>
      <c r="C149" s="9">
        <v>45718</v>
      </c>
      <c r="D149" s="9">
        <v>45720</v>
      </c>
      <c r="E149" t="s">
        <v>80</v>
      </c>
      <c r="F149" t="s">
        <v>352</v>
      </c>
      <c r="G149">
        <v>48</v>
      </c>
      <c r="H149">
        <v>285.60000000000002</v>
      </c>
      <c r="I149" t="s">
        <v>916</v>
      </c>
      <c r="K149" t="b">
        <f>IF(Table1[[#This Row],[dispatch_date]]-Table1[[#This Row],[order_date]] &gt;=0, TRUE, FALSE)</f>
        <v>1</v>
      </c>
    </row>
    <row r="150" spans="1:11" x14ac:dyDescent="0.2">
      <c r="A150" t="s">
        <v>2576</v>
      </c>
      <c r="B150" t="s">
        <v>996</v>
      </c>
      <c r="C150" s="9">
        <v>45718</v>
      </c>
      <c r="D150" s="9">
        <v>45721</v>
      </c>
      <c r="E150" t="s">
        <v>40</v>
      </c>
      <c r="G150">
        <v>72</v>
      </c>
      <c r="H150">
        <v>280.08</v>
      </c>
      <c r="I150" t="s">
        <v>956</v>
      </c>
      <c r="K150" t="b">
        <f>IF(Table1[[#This Row],[dispatch_date]]-Table1[[#This Row],[order_date]] &gt;=0, TRUE, FALSE)</f>
        <v>1</v>
      </c>
    </row>
    <row r="151" spans="1:11" x14ac:dyDescent="0.2">
      <c r="A151" t="s">
        <v>1250</v>
      </c>
      <c r="B151" t="s">
        <v>1055</v>
      </c>
      <c r="C151" s="9">
        <v>45719</v>
      </c>
      <c r="D151" s="9">
        <v>45719</v>
      </c>
      <c r="E151" t="s">
        <v>97</v>
      </c>
      <c r="F151" t="s">
        <v>810</v>
      </c>
      <c r="G151">
        <v>72</v>
      </c>
      <c r="H151">
        <v>387.36</v>
      </c>
      <c r="I151" t="s">
        <v>938</v>
      </c>
      <c r="K151" t="b">
        <f>IF(Table1[[#This Row],[dispatch_date]]-Table1[[#This Row],[order_date]] &gt;=0, TRUE, FALSE)</f>
        <v>1</v>
      </c>
    </row>
    <row r="152" spans="1:11" x14ac:dyDescent="0.2">
      <c r="A152" t="s">
        <v>1325</v>
      </c>
      <c r="B152" t="s">
        <v>901</v>
      </c>
      <c r="C152" s="9">
        <v>45719</v>
      </c>
      <c r="D152" s="9">
        <v>45719</v>
      </c>
      <c r="E152" t="s">
        <v>125</v>
      </c>
      <c r="F152" t="s">
        <v>270</v>
      </c>
      <c r="G152">
        <v>12</v>
      </c>
      <c r="H152">
        <v>86.98</v>
      </c>
      <c r="I152" t="s">
        <v>956</v>
      </c>
      <c r="K152" t="b">
        <f>IF(Table1[[#This Row],[dispatch_date]]-Table1[[#This Row],[order_date]] &gt;=0, TRUE, FALSE)</f>
        <v>1</v>
      </c>
    </row>
    <row r="153" spans="1:11" x14ac:dyDescent="0.2">
      <c r="A153" t="s">
        <v>1509</v>
      </c>
      <c r="B153" t="s">
        <v>1013</v>
      </c>
      <c r="C153" s="9">
        <v>45719</v>
      </c>
      <c r="D153" s="9">
        <v>45720</v>
      </c>
      <c r="E153" t="s">
        <v>82</v>
      </c>
      <c r="G153">
        <v>6</v>
      </c>
      <c r="H153">
        <v>11.82</v>
      </c>
      <c r="I153" t="s">
        <v>956</v>
      </c>
      <c r="K153" t="b">
        <f>IF(Table1[[#This Row],[dispatch_date]]-Table1[[#This Row],[order_date]] &gt;=0, TRUE, FALSE)</f>
        <v>1</v>
      </c>
    </row>
    <row r="154" spans="1:11" x14ac:dyDescent="0.2">
      <c r="A154" t="s">
        <v>1687</v>
      </c>
      <c r="B154" t="s">
        <v>1042</v>
      </c>
      <c r="C154" s="9">
        <v>45719</v>
      </c>
      <c r="D154" s="9">
        <v>45721</v>
      </c>
      <c r="E154" t="s">
        <v>129</v>
      </c>
      <c r="G154">
        <v>6</v>
      </c>
      <c r="H154">
        <v>28.5</v>
      </c>
      <c r="I154" t="s">
        <v>1079</v>
      </c>
      <c r="K154" t="b">
        <f>IF(Table1[[#This Row],[dispatch_date]]-Table1[[#This Row],[order_date]] &gt;=0, TRUE, FALSE)</f>
        <v>1</v>
      </c>
    </row>
    <row r="155" spans="1:11" x14ac:dyDescent="0.2">
      <c r="A155" t="s">
        <v>1695</v>
      </c>
      <c r="B155" t="s">
        <v>1040</v>
      </c>
      <c r="C155" s="9">
        <v>45719</v>
      </c>
      <c r="D155" s="9">
        <v>45722</v>
      </c>
      <c r="E155" t="s">
        <v>8</v>
      </c>
      <c r="F155" t="s">
        <v>252</v>
      </c>
      <c r="G155">
        <v>12</v>
      </c>
      <c r="H155">
        <v>72.36</v>
      </c>
      <c r="I155" t="s">
        <v>916</v>
      </c>
      <c r="K155" t="b">
        <f>IF(Table1[[#This Row],[dispatch_date]]-Table1[[#This Row],[order_date]] &gt;=0, TRUE, FALSE)</f>
        <v>1</v>
      </c>
    </row>
    <row r="156" spans="1:11" x14ac:dyDescent="0.2">
      <c r="A156" t="s">
        <v>2106</v>
      </c>
      <c r="B156" t="s">
        <v>976</v>
      </c>
      <c r="C156" s="9">
        <v>45719</v>
      </c>
      <c r="D156" s="9">
        <v>45720</v>
      </c>
      <c r="E156" t="s">
        <v>118</v>
      </c>
      <c r="F156" t="s">
        <v>396</v>
      </c>
      <c r="G156">
        <v>36</v>
      </c>
      <c r="H156">
        <v>473.04</v>
      </c>
      <c r="I156" t="s">
        <v>938</v>
      </c>
      <c r="K156" t="b">
        <f>IF(Table1[[#This Row],[dispatch_date]]-Table1[[#This Row],[order_date]] &gt;=0, TRUE, FALSE)</f>
        <v>1</v>
      </c>
    </row>
    <row r="157" spans="1:11" x14ac:dyDescent="0.2">
      <c r="A157" t="s">
        <v>2378</v>
      </c>
      <c r="B157" t="s">
        <v>973</v>
      </c>
      <c r="C157" s="9">
        <v>45719</v>
      </c>
      <c r="D157" s="9">
        <v>45720</v>
      </c>
      <c r="E157" t="s">
        <v>116</v>
      </c>
      <c r="F157" t="s">
        <v>535</v>
      </c>
      <c r="G157">
        <v>24</v>
      </c>
      <c r="H157">
        <v>110.35</v>
      </c>
      <c r="I157" t="s">
        <v>1079</v>
      </c>
      <c r="K157" t="b">
        <f>IF(Table1[[#This Row],[dispatch_date]]-Table1[[#This Row],[order_date]] &gt;=0, TRUE, FALSE)</f>
        <v>1</v>
      </c>
    </row>
    <row r="158" spans="1:11" x14ac:dyDescent="0.2">
      <c r="A158" t="s">
        <v>2610</v>
      </c>
      <c r="B158" t="s">
        <v>958</v>
      </c>
      <c r="C158" s="9">
        <v>45719</v>
      </c>
      <c r="D158" s="9">
        <v>45719</v>
      </c>
      <c r="E158" t="s">
        <v>93</v>
      </c>
      <c r="F158" t="s">
        <v>204</v>
      </c>
      <c r="G158">
        <v>6</v>
      </c>
      <c r="H158">
        <v>16.739999999999998</v>
      </c>
      <c r="I158" t="s">
        <v>956</v>
      </c>
      <c r="K158" t="b">
        <f>IF(Table1[[#This Row],[dispatch_date]]-Table1[[#This Row],[order_date]] &gt;=0, TRUE, FALSE)</f>
        <v>1</v>
      </c>
    </row>
    <row r="159" spans="1:11" x14ac:dyDescent="0.2">
      <c r="A159" t="s">
        <v>2830</v>
      </c>
      <c r="B159" t="s">
        <v>1021</v>
      </c>
      <c r="C159" s="9">
        <v>45719</v>
      </c>
      <c r="D159" s="9"/>
      <c r="E159" t="s">
        <v>63</v>
      </c>
      <c r="F159" t="s">
        <v>446</v>
      </c>
      <c r="G159">
        <v>24</v>
      </c>
      <c r="H159">
        <v>235.2</v>
      </c>
      <c r="I159" t="s">
        <v>916</v>
      </c>
      <c r="K159" t="b">
        <f>IF(Table1[[#This Row],[dispatch_date]]-Table1[[#This Row],[order_date]] &gt;=0, TRUE, FALSE)</f>
        <v>0</v>
      </c>
    </row>
    <row r="160" spans="1:11" x14ac:dyDescent="0.2">
      <c r="A160" t="s">
        <v>1360</v>
      </c>
      <c r="B160" t="s">
        <v>1076</v>
      </c>
      <c r="C160" s="9">
        <v>45720</v>
      </c>
      <c r="D160" s="9">
        <v>45723</v>
      </c>
      <c r="E160" t="s">
        <v>123</v>
      </c>
      <c r="F160" t="s">
        <v>627</v>
      </c>
      <c r="G160">
        <v>12</v>
      </c>
      <c r="H160">
        <v>79.69</v>
      </c>
      <c r="I160" t="s">
        <v>927</v>
      </c>
      <c r="K160" t="b">
        <f>IF(Table1[[#This Row],[dispatch_date]]-Table1[[#This Row],[order_date]] &gt;=0, TRUE, FALSE)</f>
        <v>1</v>
      </c>
    </row>
    <row r="161" spans="1:11" x14ac:dyDescent="0.2">
      <c r="A161" t="s">
        <v>1762</v>
      </c>
      <c r="B161" t="s">
        <v>968</v>
      </c>
      <c r="C161" s="9">
        <v>45720</v>
      </c>
      <c r="D161" s="9">
        <v>45722</v>
      </c>
      <c r="E161" t="s">
        <v>114</v>
      </c>
      <c r="F161" t="s">
        <v>814</v>
      </c>
      <c r="G161">
        <v>36</v>
      </c>
      <c r="H161">
        <v>178.2</v>
      </c>
      <c r="I161" t="s">
        <v>938</v>
      </c>
      <c r="K161" t="b">
        <f>IF(Table1[[#This Row],[dispatch_date]]-Table1[[#This Row],[order_date]] &gt;=0, TRUE, FALSE)</f>
        <v>1</v>
      </c>
    </row>
    <row r="162" spans="1:11" x14ac:dyDescent="0.2">
      <c r="A162" t="s">
        <v>1405</v>
      </c>
      <c r="B162" t="s">
        <v>1061</v>
      </c>
      <c r="C162" s="9">
        <v>45723</v>
      </c>
      <c r="D162" s="9">
        <v>45723</v>
      </c>
      <c r="E162" t="s">
        <v>99</v>
      </c>
      <c r="G162">
        <v>24</v>
      </c>
      <c r="H162">
        <v>177.36</v>
      </c>
      <c r="I162" t="s">
        <v>912</v>
      </c>
      <c r="K162" t="b">
        <f>IF(Table1[[#This Row],[dispatch_date]]-Table1[[#This Row],[order_date]] &gt;=0, TRUE, FALSE)</f>
        <v>1</v>
      </c>
    </row>
    <row r="163" spans="1:11" x14ac:dyDescent="0.2">
      <c r="A163" t="s">
        <v>1461</v>
      </c>
      <c r="B163" t="s">
        <v>951</v>
      </c>
      <c r="C163" s="9">
        <v>45723</v>
      </c>
      <c r="D163" s="9">
        <v>45723</v>
      </c>
      <c r="E163" t="s">
        <v>86</v>
      </c>
      <c r="F163" t="s">
        <v>723</v>
      </c>
      <c r="G163">
        <v>36</v>
      </c>
      <c r="H163">
        <v>114.84</v>
      </c>
      <c r="I163" t="s">
        <v>956</v>
      </c>
      <c r="K163" t="b">
        <f>IF(Table1[[#This Row],[dispatch_date]]-Table1[[#This Row],[order_date]] &gt;=0, TRUE, FALSE)</f>
        <v>1</v>
      </c>
    </row>
    <row r="164" spans="1:11" x14ac:dyDescent="0.2">
      <c r="A164" t="s">
        <v>1520</v>
      </c>
      <c r="B164" t="s">
        <v>948</v>
      </c>
      <c r="C164" s="9">
        <v>45723</v>
      </c>
      <c r="D164" s="9">
        <v>45723</v>
      </c>
      <c r="E164" t="s">
        <v>103</v>
      </c>
      <c r="F164" t="s">
        <v>887</v>
      </c>
      <c r="G164">
        <v>48</v>
      </c>
      <c r="H164">
        <v>346.08</v>
      </c>
      <c r="I164" t="s">
        <v>938</v>
      </c>
      <c r="K164" t="b">
        <f>IF(Table1[[#This Row],[dispatch_date]]-Table1[[#This Row],[order_date]] &gt;=0, TRUE, FALSE)</f>
        <v>1</v>
      </c>
    </row>
    <row r="165" spans="1:11" x14ac:dyDescent="0.2">
      <c r="A165" t="s">
        <v>1692</v>
      </c>
      <c r="B165" t="s">
        <v>906</v>
      </c>
      <c r="C165" s="9">
        <v>45723</v>
      </c>
      <c r="D165" s="9">
        <v>45726</v>
      </c>
      <c r="E165" t="s">
        <v>44</v>
      </c>
      <c r="G165">
        <v>12</v>
      </c>
      <c r="H165">
        <v>72.599999999999994</v>
      </c>
      <c r="I165" t="s">
        <v>938</v>
      </c>
      <c r="K165" t="b">
        <f>IF(Table1[[#This Row],[dispatch_date]]-Table1[[#This Row],[order_date]] &gt;=0, TRUE, FALSE)</f>
        <v>1</v>
      </c>
    </row>
    <row r="166" spans="1:11" x14ac:dyDescent="0.2">
      <c r="A166" t="s">
        <v>1868</v>
      </c>
      <c r="B166" t="s">
        <v>1016</v>
      </c>
      <c r="C166" s="9">
        <v>45723</v>
      </c>
      <c r="D166" s="9">
        <v>45725</v>
      </c>
      <c r="E166" t="s">
        <v>50</v>
      </c>
      <c r="F166" t="s">
        <v>379</v>
      </c>
      <c r="G166">
        <v>24</v>
      </c>
      <c r="H166">
        <v>146.4</v>
      </c>
      <c r="I166" t="s">
        <v>927</v>
      </c>
      <c r="K166" t="b">
        <f>IF(Table1[[#This Row],[dispatch_date]]-Table1[[#This Row],[order_date]] &gt;=0, TRUE, FALSE)</f>
        <v>1</v>
      </c>
    </row>
    <row r="167" spans="1:11" x14ac:dyDescent="0.2">
      <c r="A167" t="s">
        <v>2015</v>
      </c>
      <c r="B167" t="s">
        <v>1006</v>
      </c>
      <c r="C167" s="9">
        <v>45723</v>
      </c>
      <c r="D167" s="9">
        <v>45726</v>
      </c>
      <c r="E167" t="s">
        <v>40</v>
      </c>
      <c r="F167" t="s">
        <v>892</v>
      </c>
      <c r="G167">
        <v>48</v>
      </c>
      <c r="H167">
        <v>186.72</v>
      </c>
      <c r="I167" t="s">
        <v>912</v>
      </c>
      <c r="K167" t="b">
        <f>IF(Table1[[#This Row],[dispatch_date]]-Table1[[#This Row],[order_date]] &gt;=0, TRUE, FALSE)</f>
        <v>1</v>
      </c>
    </row>
    <row r="168" spans="1:11" x14ac:dyDescent="0.2">
      <c r="A168" t="s">
        <v>2328</v>
      </c>
      <c r="B168" t="s">
        <v>1034</v>
      </c>
      <c r="C168" s="9">
        <v>45723</v>
      </c>
      <c r="D168" s="9">
        <v>45726</v>
      </c>
      <c r="E168" t="s">
        <v>36</v>
      </c>
      <c r="G168">
        <v>12</v>
      </c>
      <c r="H168">
        <v>20.52</v>
      </c>
      <c r="I168" t="s">
        <v>938</v>
      </c>
      <c r="K168" t="b">
        <f>IF(Table1[[#This Row],[dispatch_date]]-Table1[[#This Row],[order_date]] &gt;=0, TRUE, FALSE)</f>
        <v>1</v>
      </c>
    </row>
    <row r="169" spans="1:11" x14ac:dyDescent="0.2">
      <c r="A169" t="s">
        <v>2426</v>
      </c>
      <c r="B169" t="s">
        <v>971</v>
      </c>
      <c r="C169" s="9">
        <v>45723</v>
      </c>
      <c r="D169" s="9">
        <v>45724</v>
      </c>
      <c r="E169" t="s">
        <v>125</v>
      </c>
      <c r="F169" t="s">
        <v>780</v>
      </c>
      <c r="G169">
        <v>48</v>
      </c>
      <c r="H169">
        <v>366.24</v>
      </c>
      <c r="I169" t="s">
        <v>956</v>
      </c>
      <c r="K169" t="b">
        <f>IF(Table1[[#This Row],[dispatch_date]]-Table1[[#This Row],[order_date]] &gt;=0, TRUE, FALSE)</f>
        <v>1</v>
      </c>
    </row>
    <row r="170" spans="1:11" x14ac:dyDescent="0.2">
      <c r="A170" t="s">
        <v>2678</v>
      </c>
      <c r="B170" t="s">
        <v>979</v>
      </c>
      <c r="C170" s="9">
        <v>45723</v>
      </c>
      <c r="D170" s="9">
        <v>45726</v>
      </c>
      <c r="E170" t="s">
        <v>125</v>
      </c>
      <c r="F170" t="s">
        <v>736</v>
      </c>
      <c r="G170">
        <v>24</v>
      </c>
      <c r="H170">
        <v>183.12</v>
      </c>
      <c r="I170" t="s">
        <v>927</v>
      </c>
      <c r="K170" t="b">
        <f>IF(Table1[[#This Row],[dispatch_date]]-Table1[[#This Row],[order_date]] &gt;=0, TRUE, FALSE)</f>
        <v>1</v>
      </c>
    </row>
    <row r="171" spans="1:11" x14ac:dyDescent="0.2">
      <c r="A171" t="s">
        <v>2724</v>
      </c>
      <c r="B171" t="s">
        <v>918</v>
      </c>
      <c r="C171" s="9">
        <v>45723</v>
      </c>
      <c r="D171" s="9">
        <v>45725</v>
      </c>
      <c r="E171" t="s">
        <v>101</v>
      </c>
      <c r="F171" t="s">
        <v>573</v>
      </c>
      <c r="G171">
        <v>48</v>
      </c>
      <c r="H171">
        <v>153.22</v>
      </c>
      <c r="I171" t="s">
        <v>912</v>
      </c>
      <c r="K171" t="b">
        <f>IF(Table1[[#This Row],[dispatch_date]]-Table1[[#This Row],[order_date]] &gt;=0, TRUE, FALSE)</f>
        <v>1</v>
      </c>
    </row>
    <row r="172" spans="1:11" x14ac:dyDescent="0.2">
      <c r="A172" t="s">
        <v>2350</v>
      </c>
      <c r="B172" t="s">
        <v>968</v>
      </c>
      <c r="C172" s="9">
        <v>45724</v>
      </c>
      <c r="D172" s="9">
        <v>45725</v>
      </c>
      <c r="E172" t="s">
        <v>99</v>
      </c>
      <c r="F172" t="s">
        <v>658</v>
      </c>
      <c r="G172">
        <v>12</v>
      </c>
      <c r="H172">
        <v>88.68</v>
      </c>
      <c r="I172" t="s">
        <v>938</v>
      </c>
      <c r="K172" t="b">
        <f>IF(Table1[[#This Row],[dispatch_date]]-Table1[[#This Row],[order_date]] &gt;=0, TRUE, FALSE)</f>
        <v>1</v>
      </c>
    </row>
    <row r="173" spans="1:11" x14ac:dyDescent="0.2">
      <c r="A173" t="s">
        <v>2729</v>
      </c>
      <c r="B173" t="s">
        <v>1021</v>
      </c>
      <c r="C173" s="9">
        <v>45724</v>
      </c>
      <c r="D173" s="9">
        <v>45727</v>
      </c>
      <c r="E173" t="s">
        <v>93</v>
      </c>
      <c r="F173" t="s">
        <v>689</v>
      </c>
      <c r="G173">
        <v>48</v>
      </c>
      <c r="H173">
        <v>133.91999999999999</v>
      </c>
      <c r="I173" t="s">
        <v>916</v>
      </c>
      <c r="K173" t="b">
        <f>IF(Table1[[#This Row],[dispatch_date]]-Table1[[#This Row],[order_date]] &gt;=0, TRUE, FALSE)</f>
        <v>1</v>
      </c>
    </row>
    <row r="174" spans="1:11" x14ac:dyDescent="0.2">
      <c r="A174" t="s">
        <v>1222</v>
      </c>
      <c r="B174" t="s">
        <v>981</v>
      </c>
      <c r="C174" s="9">
        <v>45725</v>
      </c>
      <c r="D174" s="9">
        <v>45725</v>
      </c>
      <c r="E174" t="s">
        <v>50</v>
      </c>
      <c r="F174" t="s">
        <v>389</v>
      </c>
      <c r="G174">
        <v>24</v>
      </c>
      <c r="H174">
        <v>146.4</v>
      </c>
      <c r="I174" t="s">
        <v>916</v>
      </c>
      <c r="K174" t="b">
        <f>IF(Table1[[#This Row],[dispatch_date]]-Table1[[#This Row],[order_date]] &gt;=0, TRUE, FALSE)</f>
        <v>1</v>
      </c>
    </row>
    <row r="175" spans="1:11" x14ac:dyDescent="0.2">
      <c r="A175" t="s">
        <v>1653</v>
      </c>
      <c r="B175" t="s">
        <v>962</v>
      </c>
      <c r="C175" s="9">
        <v>45725</v>
      </c>
      <c r="D175" s="9">
        <v>45727</v>
      </c>
      <c r="E175" t="s">
        <v>127</v>
      </c>
      <c r="F175" t="s">
        <v>305</v>
      </c>
      <c r="G175">
        <v>36</v>
      </c>
      <c r="H175">
        <v>147.6</v>
      </c>
      <c r="I175" t="s">
        <v>956</v>
      </c>
      <c r="K175" t="b">
        <f>IF(Table1[[#This Row],[dispatch_date]]-Table1[[#This Row],[order_date]] &gt;=0, TRUE, FALSE)</f>
        <v>1</v>
      </c>
    </row>
    <row r="176" spans="1:11" x14ac:dyDescent="0.2">
      <c r="A176" t="s">
        <v>1912</v>
      </c>
      <c r="B176" t="s">
        <v>910</v>
      </c>
      <c r="C176" s="9">
        <v>45725</v>
      </c>
      <c r="D176" s="9"/>
      <c r="E176" t="s">
        <v>116</v>
      </c>
      <c r="F176" t="s">
        <v>386</v>
      </c>
      <c r="G176">
        <v>36</v>
      </c>
      <c r="H176">
        <v>165.53</v>
      </c>
      <c r="I176" t="s">
        <v>912</v>
      </c>
      <c r="K176" t="b">
        <f>IF(Table1[[#This Row],[dispatch_date]]-Table1[[#This Row],[order_date]] &gt;=0, TRUE, FALSE)</f>
        <v>0</v>
      </c>
    </row>
    <row r="177" spans="1:11" x14ac:dyDescent="0.2">
      <c r="A177" t="s">
        <v>2439</v>
      </c>
      <c r="B177" t="s">
        <v>1021</v>
      </c>
      <c r="C177" s="9">
        <v>45725</v>
      </c>
      <c r="D177" s="9">
        <v>45727</v>
      </c>
      <c r="E177" t="s">
        <v>97</v>
      </c>
      <c r="F177" t="s">
        <v>279</v>
      </c>
      <c r="G177">
        <v>12</v>
      </c>
      <c r="H177">
        <v>64.56</v>
      </c>
      <c r="I177" t="s">
        <v>916</v>
      </c>
      <c r="K177" t="b">
        <f>IF(Table1[[#This Row],[dispatch_date]]-Table1[[#This Row],[order_date]] &gt;=0, TRUE, FALSE)</f>
        <v>1</v>
      </c>
    </row>
    <row r="178" spans="1:11" x14ac:dyDescent="0.2">
      <c r="A178" t="s">
        <v>2038</v>
      </c>
      <c r="B178" t="s">
        <v>1077</v>
      </c>
      <c r="C178" s="9">
        <v>45726</v>
      </c>
      <c r="D178" s="9">
        <v>45729</v>
      </c>
      <c r="E178" t="s">
        <v>71</v>
      </c>
      <c r="F178" t="s">
        <v>516</v>
      </c>
      <c r="G178">
        <v>36</v>
      </c>
      <c r="H178">
        <v>342.36</v>
      </c>
      <c r="I178" t="s">
        <v>1079</v>
      </c>
      <c r="K178" t="b">
        <f>IF(Table1[[#This Row],[dispatch_date]]-Table1[[#This Row],[order_date]] &gt;=0, TRUE, FALSE)</f>
        <v>1</v>
      </c>
    </row>
    <row r="179" spans="1:11" x14ac:dyDescent="0.2">
      <c r="A179" t="s">
        <v>2625</v>
      </c>
      <c r="B179" t="s">
        <v>929</v>
      </c>
      <c r="C179" s="9">
        <v>45726</v>
      </c>
      <c r="D179" s="9">
        <v>45727</v>
      </c>
      <c r="E179" t="s">
        <v>118</v>
      </c>
      <c r="F179" t="s">
        <v>500</v>
      </c>
      <c r="G179">
        <v>36</v>
      </c>
      <c r="H179">
        <v>449.39</v>
      </c>
      <c r="I179" t="s">
        <v>912</v>
      </c>
      <c r="K179" t="b">
        <f>IF(Table1[[#This Row],[dispatch_date]]-Table1[[#This Row],[order_date]] &gt;=0, TRUE, FALSE)</f>
        <v>1</v>
      </c>
    </row>
    <row r="180" spans="1:11" x14ac:dyDescent="0.2">
      <c r="A180" t="s">
        <v>1861</v>
      </c>
      <c r="B180" t="s">
        <v>1049</v>
      </c>
      <c r="C180" s="9">
        <v>45727</v>
      </c>
      <c r="D180" s="9">
        <v>45729</v>
      </c>
      <c r="E180" t="s">
        <v>54</v>
      </c>
      <c r="G180">
        <v>6</v>
      </c>
      <c r="H180">
        <v>26.58</v>
      </c>
      <c r="I180" t="s">
        <v>938</v>
      </c>
      <c r="K180" t="b">
        <f>IF(Table1[[#This Row],[dispatch_date]]-Table1[[#This Row],[order_date]] &gt;=0, TRUE, FALSE)</f>
        <v>1</v>
      </c>
    </row>
    <row r="181" spans="1:11" x14ac:dyDescent="0.2">
      <c r="A181" t="s">
        <v>1931</v>
      </c>
      <c r="B181" t="s">
        <v>996</v>
      </c>
      <c r="C181" s="9">
        <v>45727</v>
      </c>
      <c r="D181" s="9"/>
      <c r="E181" t="s">
        <v>58</v>
      </c>
      <c r="G181">
        <v>72</v>
      </c>
      <c r="H181">
        <v>430.92</v>
      </c>
      <c r="I181" t="s">
        <v>956</v>
      </c>
      <c r="K181" t="b">
        <f>IF(Table1[[#This Row],[dispatch_date]]-Table1[[#This Row],[order_date]] &gt;=0, TRUE, FALSE)</f>
        <v>0</v>
      </c>
    </row>
    <row r="182" spans="1:11" x14ac:dyDescent="0.2">
      <c r="A182" t="s">
        <v>2085</v>
      </c>
      <c r="B182" t="s">
        <v>991</v>
      </c>
      <c r="C182" s="9">
        <v>45727</v>
      </c>
      <c r="D182" s="9">
        <v>45729</v>
      </c>
      <c r="E182" t="s">
        <v>103</v>
      </c>
      <c r="F182" t="s">
        <v>776</v>
      </c>
      <c r="G182">
        <v>48</v>
      </c>
      <c r="H182">
        <v>328.78</v>
      </c>
      <c r="I182" t="s">
        <v>956</v>
      </c>
      <c r="K182" t="b">
        <f>IF(Table1[[#This Row],[dispatch_date]]-Table1[[#This Row],[order_date]] &gt;=0, TRUE, FALSE)</f>
        <v>1</v>
      </c>
    </row>
    <row r="183" spans="1:11" x14ac:dyDescent="0.2">
      <c r="A183" t="s">
        <v>2361</v>
      </c>
      <c r="B183" t="s">
        <v>989</v>
      </c>
      <c r="C183" s="9">
        <v>45727</v>
      </c>
      <c r="D183" s="9">
        <v>45730</v>
      </c>
      <c r="E183" t="s">
        <v>58</v>
      </c>
      <c r="F183" t="s">
        <v>505</v>
      </c>
      <c r="G183">
        <v>24</v>
      </c>
      <c r="H183">
        <v>143.63999999999999</v>
      </c>
      <c r="I183" t="s">
        <v>916</v>
      </c>
      <c r="K183" t="b">
        <f>IF(Table1[[#This Row],[dispatch_date]]-Table1[[#This Row],[order_date]] &gt;=0, TRUE, FALSE)</f>
        <v>1</v>
      </c>
    </row>
    <row r="184" spans="1:11" x14ac:dyDescent="0.2">
      <c r="A184" t="s">
        <v>1111</v>
      </c>
      <c r="B184" t="s">
        <v>971</v>
      </c>
      <c r="C184" s="9">
        <v>45728</v>
      </c>
      <c r="D184" s="9">
        <v>45730</v>
      </c>
      <c r="E184" t="s">
        <v>8</v>
      </c>
      <c r="F184" t="s">
        <v>656</v>
      </c>
      <c r="G184">
        <v>72</v>
      </c>
      <c r="H184">
        <v>434.16</v>
      </c>
      <c r="I184" t="s">
        <v>956</v>
      </c>
      <c r="K184" t="b">
        <f>IF(Table1[[#This Row],[dispatch_date]]-Table1[[#This Row],[order_date]] &gt;=0, TRUE, FALSE)</f>
        <v>1</v>
      </c>
    </row>
    <row r="185" spans="1:11" x14ac:dyDescent="0.2">
      <c r="A185" t="s">
        <v>1224</v>
      </c>
      <c r="B185" t="s">
        <v>948</v>
      </c>
      <c r="C185" s="9">
        <v>45728</v>
      </c>
      <c r="D185" s="9">
        <v>45731</v>
      </c>
      <c r="E185" t="s">
        <v>90</v>
      </c>
      <c r="F185" t="s">
        <v>209</v>
      </c>
      <c r="G185">
        <v>72</v>
      </c>
      <c r="H185">
        <v>604.79999999999995</v>
      </c>
      <c r="I185" t="s">
        <v>938</v>
      </c>
      <c r="K185" t="b">
        <f>IF(Table1[[#This Row],[dispatch_date]]-Table1[[#This Row],[order_date]] &gt;=0, TRUE, FALSE)</f>
        <v>1</v>
      </c>
    </row>
    <row r="186" spans="1:11" x14ac:dyDescent="0.2">
      <c r="A186" t="s">
        <v>1514</v>
      </c>
      <c r="B186" t="s">
        <v>952</v>
      </c>
      <c r="C186" s="9">
        <v>45729</v>
      </c>
      <c r="D186" s="9">
        <v>45732</v>
      </c>
      <c r="E186" t="s">
        <v>95</v>
      </c>
      <c r="F186" t="s">
        <v>601</v>
      </c>
      <c r="G186">
        <v>48</v>
      </c>
      <c r="H186">
        <v>179.66</v>
      </c>
      <c r="I186" t="s">
        <v>938</v>
      </c>
      <c r="K186" t="b">
        <f>IF(Table1[[#This Row],[dispatch_date]]-Table1[[#This Row],[order_date]] &gt;=0, TRUE, FALSE)</f>
        <v>1</v>
      </c>
    </row>
    <row r="187" spans="1:11" x14ac:dyDescent="0.2">
      <c r="A187" t="s">
        <v>2241</v>
      </c>
      <c r="B187" t="s">
        <v>951</v>
      </c>
      <c r="C187" s="9">
        <v>45729</v>
      </c>
      <c r="D187" s="9">
        <v>45730</v>
      </c>
      <c r="E187" t="s">
        <v>93</v>
      </c>
      <c r="F187" t="s">
        <v>849</v>
      </c>
      <c r="G187">
        <v>12</v>
      </c>
      <c r="H187">
        <v>33.479999999999997</v>
      </c>
      <c r="I187" t="s">
        <v>956</v>
      </c>
      <c r="K187" t="b">
        <f>IF(Table1[[#This Row],[dispatch_date]]-Table1[[#This Row],[order_date]] &gt;=0, TRUE, FALSE)</f>
        <v>1</v>
      </c>
    </row>
    <row r="188" spans="1:11" x14ac:dyDescent="0.2">
      <c r="A188" t="s">
        <v>2313</v>
      </c>
      <c r="B188" t="s">
        <v>1027</v>
      </c>
      <c r="C188" s="9">
        <v>45729</v>
      </c>
      <c r="D188" s="9">
        <v>45731</v>
      </c>
      <c r="E188" t="s">
        <v>36</v>
      </c>
      <c r="F188" t="s">
        <v>428</v>
      </c>
      <c r="G188">
        <v>6</v>
      </c>
      <c r="H188">
        <v>9.75</v>
      </c>
      <c r="I188" t="s">
        <v>956</v>
      </c>
      <c r="K188" t="b">
        <f>IF(Table1[[#This Row],[dispatch_date]]-Table1[[#This Row],[order_date]] &gt;=0, TRUE, FALSE)</f>
        <v>1</v>
      </c>
    </row>
    <row r="189" spans="1:11" x14ac:dyDescent="0.2">
      <c r="A189" t="s">
        <v>2683</v>
      </c>
      <c r="B189" t="s">
        <v>951</v>
      </c>
      <c r="C189" s="9">
        <v>45729</v>
      </c>
      <c r="D189" s="9">
        <v>45731</v>
      </c>
      <c r="E189" t="s">
        <v>67</v>
      </c>
      <c r="F189" t="s">
        <v>398</v>
      </c>
      <c r="G189">
        <v>24</v>
      </c>
      <c r="H189">
        <v>127.2</v>
      </c>
      <c r="I189" t="s">
        <v>956</v>
      </c>
      <c r="K189" t="b">
        <f>IF(Table1[[#This Row],[dispatch_date]]-Table1[[#This Row],[order_date]] &gt;=0, TRUE, FALSE)</f>
        <v>1</v>
      </c>
    </row>
    <row r="190" spans="1:11" x14ac:dyDescent="0.2">
      <c r="A190" t="s">
        <v>1188</v>
      </c>
      <c r="B190" t="s">
        <v>1189</v>
      </c>
      <c r="C190" s="9">
        <v>45730</v>
      </c>
      <c r="D190" s="9">
        <v>45731</v>
      </c>
      <c r="E190" t="s">
        <v>84</v>
      </c>
      <c r="G190">
        <v>48</v>
      </c>
      <c r="H190">
        <v>107.04</v>
      </c>
      <c r="I190" t="s">
        <v>916</v>
      </c>
      <c r="J190" t="s">
        <v>3135</v>
      </c>
      <c r="K190" t="b">
        <f>IF(Table1[[#This Row],[dispatch_date]]-Table1[[#This Row],[order_date]] &gt;=0, TRUE, FALSE)</f>
        <v>1</v>
      </c>
    </row>
    <row r="191" spans="1:11" x14ac:dyDescent="0.2">
      <c r="A191" t="s">
        <v>1554</v>
      </c>
      <c r="B191" t="s">
        <v>936</v>
      </c>
      <c r="C191" s="9">
        <v>45730</v>
      </c>
      <c r="D191" s="9">
        <v>45731</v>
      </c>
      <c r="E191" t="s">
        <v>63</v>
      </c>
      <c r="F191" t="s">
        <v>608</v>
      </c>
      <c r="G191">
        <v>36</v>
      </c>
      <c r="H191">
        <v>352.8</v>
      </c>
      <c r="I191" t="s">
        <v>938</v>
      </c>
      <c r="K191" t="b">
        <f>IF(Table1[[#This Row],[dispatch_date]]-Table1[[#This Row],[order_date]] &gt;=0, TRUE, FALSE)</f>
        <v>1</v>
      </c>
    </row>
    <row r="192" spans="1:11" x14ac:dyDescent="0.2">
      <c r="A192" t="s">
        <v>2399</v>
      </c>
      <c r="B192" t="s">
        <v>1076</v>
      </c>
      <c r="C192" s="9">
        <v>45730</v>
      </c>
      <c r="D192" s="9"/>
      <c r="E192" t="s">
        <v>110</v>
      </c>
      <c r="F192" t="s">
        <v>455</v>
      </c>
      <c r="G192">
        <v>24</v>
      </c>
      <c r="H192">
        <v>78.48</v>
      </c>
      <c r="I192" t="s">
        <v>927</v>
      </c>
      <c r="K192" t="b">
        <f>IF(Table1[[#This Row],[dispatch_date]]-Table1[[#This Row],[order_date]] &gt;=0, TRUE, FALSE)</f>
        <v>0</v>
      </c>
    </row>
    <row r="193" spans="1:11" x14ac:dyDescent="0.2">
      <c r="A193" t="s">
        <v>2451</v>
      </c>
      <c r="B193" t="s">
        <v>1067</v>
      </c>
      <c r="C193" s="9">
        <v>45730</v>
      </c>
      <c r="D193" s="9">
        <v>45732</v>
      </c>
      <c r="E193" t="s">
        <v>88</v>
      </c>
      <c r="G193">
        <v>48</v>
      </c>
      <c r="H193">
        <v>198.24</v>
      </c>
      <c r="I193" t="s">
        <v>956</v>
      </c>
      <c r="K193" t="b">
        <f>IF(Table1[[#This Row],[dispatch_date]]-Table1[[#This Row],[order_date]] &gt;=0, TRUE, FALSE)</f>
        <v>1</v>
      </c>
    </row>
    <row r="194" spans="1:11" x14ac:dyDescent="0.2">
      <c r="A194" t="s">
        <v>1091</v>
      </c>
      <c r="B194" t="s">
        <v>1011</v>
      </c>
      <c r="C194" s="9">
        <v>45731</v>
      </c>
      <c r="D194" s="9">
        <v>45733</v>
      </c>
      <c r="E194" t="s">
        <v>101</v>
      </c>
      <c r="F194" t="s">
        <v>773</v>
      </c>
      <c r="G194">
        <v>36</v>
      </c>
      <c r="H194">
        <v>120.96</v>
      </c>
      <c r="I194" t="s">
        <v>916</v>
      </c>
      <c r="K194" t="b">
        <f>IF(Table1[[#This Row],[dispatch_date]]-Table1[[#This Row],[order_date]] &gt;=0, TRUE, FALSE)</f>
        <v>1</v>
      </c>
    </row>
    <row r="195" spans="1:11" x14ac:dyDescent="0.2">
      <c r="A195" t="s">
        <v>1200</v>
      </c>
      <c r="B195" t="s">
        <v>1052</v>
      </c>
      <c r="C195" s="9">
        <v>45731</v>
      </c>
      <c r="D195" s="9">
        <v>45732</v>
      </c>
      <c r="E195" t="s">
        <v>97</v>
      </c>
      <c r="F195" t="s">
        <v>279</v>
      </c>
      <c r="G195">
        <v>12</v>
      </c>
      <c r="H195">
        <v>64.56</v>
      </c>
      <c r="I195" t="s">
        <v>956</v>
      </c>
      <c r="K195" t="b">
        <f>IF(Table1[[#This Row],[dispatch_date]]-Table1[[#This Row],[order_date]] &gt;=0, TRUE, FALSE)</f>
        <v>1</v>
      </c>
    </row>
    <row r="196" spans="1:11" x14ac:dyDescent="0.2">
      <c r="A196" t="s">
        <v>1356</v>
      </c>
      <c r="B196" t="s">
        <v>998</v>
      </c>
      <c r="C196" s="9">
        <v>45731</v>
      </c>
      <c r="D196" s="9">
        <v>45733</v>
      </c>
      <c r="E196" t="s">
        <v>71</v>
      </c>
      <c r="F196" t="s">
        <v>881</v>
      </c>
      <c r="G196">
        <v>48</v>
      </c>
      <c r="H196">
        <v>456.48</v>
      </c>
      <c r="I196" t="s">
        <v>938</v>
      </c>
      <c r="K196" t="b">
        <f>IF(Table1[[#This Row],[dispatch_date]]-Table1[[#This Row],[order_date]] &gt;=0, TRUE, FALSE)</f>
        <v>1</v>
      </c>
    </row>
    <row r="197" spans="1:11" x14ac:dyDescent="0.2">
      <c r="A197" t="s">
        <v>1982</v>
      </c>
      <c r="B197" t="s">
        <v>958</v>
      </c>
      <c r="C197" s="9">
        <v>45731</v>
      </c>
      <c r="D197" s="9">
        <v>45731</v>
      </c>
      <c r="E197" t="s">
        <v>125</v>
      </c>
      <c r="G197">
        <v>36</v>
      </c>
      <c r="H197">
        <v>274.68</v>
      </c>
      <c r="I197" t="s">
        <v>956</v>
      </c>
      <c r="K197" t="b">
        <f>IF(Table1[[#This Row],[dispatch_date]]-Table1[[#This Row],[order_date]] &gt;=0, TRUE, FALSE)</f>
        <v>1</v>
      </c>
    </row>
    <row r="198" spans="1:11" x14ac:dyDescent="0.2">
      <c r="A198" t="s">
        <v>2717</v>
      </c>
      <c r="B198" t="s">
        <v>1042</v>
      </c>
      <c r="C198" s="9">
        <v>45731</v>
      </c>
      <c r="D198" s="9">
        <v>45734</v>
      </c>
      <c r="E198" t="s">
        <v>82</v>
      </c>
      <c r="F198" t="s">
        <v>818</v>
      </c>
      <c r="G198">
        <v>24</v>
      </c>
      <c r="H198">
        <v>47.28</v>
      </c>
      <c r="I198" t="s">
        <v>1079</v>
      </c>
      <c r="K198" t="b">
        <f>IF(Table1[[#This Row],[dispatch_date]]-Table1[[#This Row],[order_date]] &gt;=0, TRUE, FALSE)</f>
        <v>1</v>
      </c>
    </row>
    <row r="199" spans="1:11" x14ac:dyDescent="0.2">
      <c r="A199" t="s">
        <v>1118</v>
      </c>
      <c r="B199" t="s">
        <v>922</v>
      </c>
      <c r="C199" s="9">
        <v>45732</v>
      </c>
      <c r="D199" s="9">
        <v>45734</v>
      </c>
      <c r="E199" t="s">
        <v>38</v>
      </c>
      <c r="F199" t="s">
        <v>889</v>
      </c>
      <c r="G199">
        <v>24</v>
      </c>
      <c r="H199">
        <v>122.4</v>
      </c>
      <c r="I199" t="s">
        <v>938</v>
      </c>
      <c r="K199" t="b">
        <f>IF(Table1[[#This Row],[dispatch_date]]-Table1[[#This Row],[order_date]] &gt;=0, TRUE, FALSE)</f>
        <v>1</v>
      </c>
    </row>
    <row r="200" spans="1:11" x14ac:dyDescent="0.2">
      <c r="A200" t="s">
        <v>2032</v>
      </c>
      <c r="B200" t="s">
        <v>1006</v>
      </c>
      <c r="C200" s="9">
        <v>45732</v>
      </c>
      <c r="D200" s="9">
        <v>45732</v>
      </c>
      <c r="E200" t="s">
        <v>65</v>
      </c>
      <c r="F200" t="s">
        <v>672</v>
      </c>
      <c r="G200">
        <v>24</v>
      </c>
      <c r="H200">
        <v>318.48</v>
      </c>
      <c r="I200" t="s">
        <v>912</v>
      </c>
      <c r="K200" t="b">
        <f>IF(Table1[[#This Row],[dispatch_date]]-Table1[[#This Row],[order_date]] &gt;=0, TRUE, FALSE)</f>
        <v>1</v>
      </c>
    </row>
    <row r="201" spans="1:11" x14ac:dyDescent="0.2">
      <c r="A201" t="s">
        <v>1494</v>
      </c>
      <c r="B201" t="s">
        <v>910</v>
      </c>
      <c r="C201" s="9">
        <v>45733</v>
      </c>
      <c r="D201" s="9"/>
      <c r="E201" t="s">
        <v>48</v>
      </c>
      <c r="F201" t="s">
        <v>624</v>
      </c>
      <c r="G201">
        <v>72</v>
      </c>
      <c r="H201">
        <v>485.28</v>
      </c>
      <c r="I201" t="s">
        <v>912</v>
      </c>
      <c r="K201" t="b">
        <f>IF(Table1[[#This Row],[dispatch_date]]-Table1[[#This Row],[order_date]] &gt;=0, TRUE, FALSE)</f>
        <v>0</v>
      </c>
    </row>
    <row r="202" spans="1:11" x14ac:dyDescent="0.2">
      <c r="A202" t="s">
        <v>2321</v>
      </c>
      <c r="B202" t="s">
        <v>1016</v>
      </c>
      <c r="C202" s="9">
        <v>45733</v>
      </c>
      <c r="D202" s="9">
        <v>45733</v>
      </c>
      <c r="E202" t="s">
        <v>25</v>
      </c>
      <c r="F202" t="s">
        <v>839</v>
      </c>
      <c r="G202">
        <v>72</v>
      </c>
      <c r="H202">
        <v>399.6</v>
      </c>
      <c r="I202" t="s">
        <v>912</v>
      </c>
      <c r="K202" t="b">
        <f>IF(Table1[[#This Row],[dispatch_date]]-Table1[[#This Row],[order_date]] &gt;=0, TRUE, FALSE)</f>
        <v>1</v>
      </c>
    </row>
    <row r="203" spans="1:11" x14ac:dyDescent="0.2">
      <c r="A203" t="s">
        <v>2421</v>
      </c>
      <c r="B203" t="s">
        <v>962</v>
      </c>
      <c r="C203" s="9">
        <v>45733</v>
      </c>
      <c r="D203" s="9">
        <v>45734</v>
      </c>
      <c r="E203" t="s">
        <v>118</v>
      </c>
      <c r="G203">
        <v>12</v>
      </c>
      <c r="H203">
        <v>157.68</v>
      </c>
      <c r="I203" t="s">
        <v>1079</v>
      </c>
      <c r="K203" t="b">
        <f>IF(Table1[[#This Row],[dispatch_date]]-Table1[[#This Row],[order_date]] &gt;=0, TRUE, FALSE)</f>
        <v>1</v>
      </c>
    </row>
    <row r="204" spans="1:11" x14ac:dyDescent="0.2">
      <c r="A204" t="s">
        <v>1744</v>
      </c>
      <c r="B204" t="s">
        <v>1072</v>
      </c>
      <c r="C204" s="9">
        <v>45734</v>
      </c>
      <c r="D204" s="9">
        <v>45735</v>
      </c>
      <c r="E204" t="s">
        <v>17</v>
      </c>
      <c r="G204">
        <v>24</v>
      </c>
      <c r="H204">
        <v>143.76</v>
      </c>
      <c r="I204" t="s">
        <v>956</v>
      </c>
      <c r="K204" t="b">
        <f>IF(Table1[[#This Row],[dispatch_date]]-Table1[[#This Row],[order_date]] &gt;=0, TRUE, FALSE)</f>
        <v>1</v>
      </c>
    </row>
    <row r="205" spans="1:11" x14ac:dyDescent="0.2">
      <c r="A205" t="s">
        <v>2174</v>
      </c>
      <c r="B205" t="s">
        <v>981</v>
      </c>
      <c r="C205" s="9">
        <v>45734</v>
      </c>
      <c r="D205" s="9">
        <v>45734</v>
      </c>
      <c r="E205" t="s">
        <v>69</v>
      </c>
      <c r="F205" t="s">
        <v>837</v>
      </c>
      <c r="G205">
        <v>12</v>
      </c>
      <c r="H205">
        <v>64.08</v>
      </c>
      <c r="I205" t="s">
        <v>916</v>
      </c>
      <c r="K205" t="b">
        <f>IF(Table1[[#This Row],[dispatch_date]]-Table1[[#This Row],[order_date]] &gt;=0, TRUE, FALSE)</f>
        <v>1</v>
      </c>
    </row>
    <row r="206" spans="1:11" x14ac:dyDescent="0.2">
      <c r="A206" t="s">
        <v>2619</v>
      </c>
      <c r="B206" t="s">
        <v>962</v>
      </c>
      <c r="C206" s="9">
        <v>45734</v>
      </c>
      <c r="D206" s="9">
        <v>45736</v>
      </c>
      <c r="E206" t="s">
        <v>121</v>
      </c>
      <c r="F206" t="s">
        <v>593</v>
      </c>
      <c r="G206">
        <v>24</v>
      </c>
      <c r="H206">
        <v>308.16000000000003</v>
      </c>
      <c r="I206" t="s">
        <v>956</v>
      </c>
      <c r="K206" t="b">
        <f>IF(Table1[[#This Row],[dispatch_date]]-Table1[[#This Row],[order_date]] &gt;=0, TRUE, FALSE)</f>
        <v>1</v>
      </c>
    </row>
    <row r="207" spans="1:11" x14ac:dyDescent="0.2">
      <c r="A207" t="s">
        <v>1497</v>
      </c>
      <c r="B207" t="s">
        <v>991</v>
      </c>
      <c r="C207" s="9">
        <v>45735</v>
      </c>
      <c r="D207" s="9">
        <v>45735</v>
      </c>
      <c r="E207" t="s">
        <v>8</v>
      </c>
      <c r="F207" t="s">
        <v>656</v>
      </c>
      <c r="G207">
        <v>6</v>
      </c>
      <c r="H207">
        <v>36.18</v>
      </c>
      <c r="I207" t="s">
        <v>956</v>
      </c>
      <c r="K207" t="b">
        <f>IF(Table1[[#This Row],[dispatch_date]]-Table1[[#This Row],[order_date]] &gt;=0, TRUE, FALSE)</f>
        <v>1</v>
      </c>
    </row>
    <row r="208" spans="1:11" x14ac:dyDescent="0.2">
      <c r="A208" t="s">
        <v>2364</v>
      </c>
      <c r="B208" t="s">
        <v>1027</v>
      </c>
      <c r="C208" s="9">
        <v>45735</v>
      </c>
      <c r="D208" s="9">
        <v>45736</v>
      </c>
      <c r="E208" t="s">
        <v>28</v>
      </c>
      <c r="F208" t="s">
        <v>788</v>
      </c>
      <c r="G208">
        <v>24</v>
      </c>
      <c r="H208">
        <v>137.76</v>
      </c>
      <c r="I208" t="s">
        <v>916</v>
      </c>
      <c r="K208" t="b">
        <f>IF(Table1[[#This Row],[dispatch_date]]-Table1[[#This Row],[order_date]] &gt;=0, TRUE, FALSE)</f>
        <v>1</v>
      </c>
    </row>
    <row r="209" spans="1:11" x14ac:dyDescent="0.2">
      <c r="A209" t="s">
        <v>2718</v>
      </c>
      <c r="B209" t="s">
        <v>1055</v>
      </c>
      <c r="C209" s="9">
        <v>45735</v>
      </c>
      <c r="D209" s="9">
        <v>45737</v>
      </c>
      <c r="E209" t="s">
        <v>56</v>
      </c>
      <c r="F209" t="s">
        <v>467</v>
      </c>
      <c r="G209">
        <v>12</v>
      </c>
      <c r="H209">
        <v>70.56</v>
      </c>
      <c r="I209" t="s">
        <v>938</v>
      </c>
      <c r="K209" t="b">
        <f>IF(Table1[[#This Row],[dispatch_date]]-Table1[[#This Row],[order_date]] &gt;=0, TRUE, FALSE)</f>
        <v>1</v>
      </c>
    </row>
    <row r="210" spans="1:11" x14ac:dyDescent="0.2">
      <c r="A210" t="s">
        <v>1318</v>
      </c>
      <c r="B210" t="s">
        <v>1031</v>
      </c>
      <c r="C210" s="9">
        <v>45736</v>
      </c>
      <c r="D210" s="9">
        <v>45739</v>
      </c>
      <c r="E210" t="s">
        <v>108</v>
      </c>
      <c r="F210" t="s">
        <v>566</v>
      </c>
      <c r="G210">
        <v>24</v>
      </c>
      <c r="H210">
        <v>171.36</v>
      </c>
      <c r="I210" t="s">
        <v>956</v>
      </c>
      <c r="K210" t="b">
        <f>IF(Table1[[#This Row],[dispatch_date]]-Table1[[#This Row],[order_date]] &gt;=0, TRUE, FALSE)</f>
        <v>1</v>
      </c>
    </row>
    <row r="211" spans="1:11" x14ac:dyDescent="0.2">
      <c r="A211" t="s">
        <v>2194</v>
      </c>
      <c r="B211" t="s">
        <v>1077</v>
      </c>
      <c r="C211" s="9">
        <v>45736</v>
      </c>
      <c r="D211" s="9">
        <v>45739</v>
      </c>
      <c r="E211" t="s">
        <v>52</v>
      </c>
      <c r="F211" t="s">
        <v>714</v>
      </c>
      <c r="G211">
        <v>24</v>
      </c>
      <c r="H211">
        <v>118.32</v>
      </c>
      <c r="I211" t="s">
        <v>1079</v>
      </c>
      <c r="K211" t="b">
        <f>IF(Table1[[#This Row],[dispatch_date]]-Table1[[#This Row],[order_date]] &gt;=0, TRUE, FALSE)</f>
        <v>1</v>
      </c>
    </row>
    <row r="212" spans="1:11" x14ac:dyDescent="0.2">
      <c r="A212" t="s">
        <v>2589</v>
      </c>
      <c r="B212" t="s">
        <v>1009</v>
      </c>
      <c r="C212" s="9">
        <v>45736</v>
      </c>
      <c r="D212" s="9">
        <v>45737</v>
      </c>
      <c r="E212" t="s">
        <v>22</v>
      </c>
      <c r="F212" t="s">
        <v>179</v>
      </c>
      <c r="G212">
        <v>24</v>
      </c>
      <c r="H212">
        <v>119.28</v>
      </c>
      <c r="I212" t="s">
        <v>912</v>
      </c>
      <c r="K212" t="b">
        <f>IF(Table1[[#This Row],[dispatch_date]]-Table1[[#This Row],[order_date]] &gt;=0, TRUE, FALSE)</f>
        <v>1</v>
      </c>
    </row>
    <row r="213" spans="1:11" x14ac:dyDescent="0.2">
      <c r="A213" t="s">
        <v>2764</v>
      </c>
      <c r="B213" t="s">
        <v>929</v>
      </c>
      <c r="C213" s="9">
        <v>45736</v>
      </c>
      <c r="D213" s="9">
        <v>45736</v>
      </c>
      <c r="E213" t="s">
        <v>44</v>
      </c>
      <c r="F213" t="s">
        <v>662</v>
      </c>
      <c r="G213">
        <v>48</v>
      </c>
      <c r="H213">
        <v>290.39999999999998</v>
      </c>
      <c r="I213" t="s">
        <v>912</v>
      </c>
      <c r="K213" t="b">
        <f>IF(Table1[[#This Row],[dispatch_date]]-Table1[[#This Row],[order_date]] &gt;=0, TRUE, FALSE)</f>
        <v>1</v>
      </c>
    </row>
    <row r="214" spans="1:11" x14ac:dyDescent="0.2">
      <c r="A214" t="s">
        <v>1196</v>
      </c>
      <c r="B214" t="s">
        <v>945</v>
      </c>
      <c r="C214" s="9">
        <v>45737</v>
      </c>
      <c r="D214" s="9">
        <v>45737</v>
      </c>
      <c r="E214" t="s">
        <v>22</v>
      </c>
      <c r="F214" t="s">
        <v>819</v>
      </c>
      <c r="G214">
        <v>24</v>
      </c>
      <c r="H214">
        <v>119.28</v>
      </c>
      <c r="I214" t="s">
        <v>938</v>
      </c>
      <c r="K214" t="b">
        <f>IF(Table1[[#This Row],[dispatch_date]]-Table1[[#This Row],[order_date]] &gt;=0, TRUE, FALSE)</f>
        <v>1</v>
      </c>
    </row>
    <row r="215" spans="1:11" x14ac:dyDescent="0.2">
      <c r="A215" t="s">
        <v>1338</v>
      </c>
      <c r="B215" t="s">
        <v>1034</v>
      </c>
      <c r="C215" s="9">
        <v>45737</v>
      </c>
      <c r="D215" s="9">
        <v>45739</v>
      </c>
      <c r="E215" t="s">
        <v>118</v>
      </c>
      <c r="F215" t="s">
        <v>500</v>
      </c>
      <c r="G215">
        <v>12</v>
      </c>
      <c r="H215">
        <v>157.68</v>
      </c>
      <c r="I215" t="s">
        <v>938</v>
      </c>
      <c r="K215" t="b">
        <f>IF(Table1[[#This Row],[dispatch_date]]-Table1[[#This Row],[order_date]] &gt;=0, TRUE, FALSE)</f>
        <v>1</v>
      </c>
    </row>
    <row r="216" spans="1:11" x14ac:dyDescent="0.2">
      <c r="A216" t="s">
        <v>2083</v>
      </c>
      <c r="B216" t="s">
        <v>1027</v>
      </c>
      <c r="C216" s="9">
        <v>45737</v>
      </c>
      <c r="D216" s="9">
        <v>45737</v>
      </c>
      <c r="E216" t="s">
        <v>99</v>
      </c>
      <c r="G216">
        <v>12</v>
      </c>
      <c r="H216">
        <v>88.68</v>
      </c>
      <c r="I216" t="s">
        <v>916</v>
      </c>
      <c r="K216" t="b">
        <f>IF(Table1[[#This Row],[dispatch_date]]-Table1[[#This Row],[order_date]] &gt;=0, TRUE, FALSE)</f>
        <v>1</v>
      </c>
    </row>
    <row r="217" spans="1:11" x14ac:dyDescent="0.2">
      <c r="A217" t="s">
        <v>1233</v>
      </c>
      <c r="B217" t="s">
        <v>951</v>
      </c>
      <c r="C217" s="9">
        <v>45738</v>
      </c>
      <c r="D217" s="9">
        <v>45740</v>
      </c>
      <c r="E217" t="s">
        <v>90</v>
      </c>
      <c r="G217">
        <v>24</v>
      </c>
      <c r="H217">
        <v>191.52</v>
      </c>
      <c r="I217" t="s">
        <v>1079</v>
      </c>
      <c r="K217" t="b">
        <f>IF(Table1[[#This Row],[dispatch_date]]-Table1[[#This Row],[order_date]] &gt;=0, TRUE, FALSE)</f>
        <v>1</v>
      </c>
    </row>
    <row r="218" spans="1:11" x14ac:dyDescent="0.2">
      <c r="A218" t="s">
        <v>2202</v>
      </c>
      <c r="B218" t="s">
        <v>929</v>
      </c>
      <c r="C218" s="9">
        <v>45738</v>
      </c>
      <c r="D218" s="9">
        <v>45741</v>
      </c>
      <c r="E218" t="s">
        <v>38</v>
      </c>
      <c r="F218" t="s">
        <v>889</v>
      </c>
      <c r="G218">
        <v>24</v>
      </c>
      <c r="H218">
        <v>116.28</v>
      </c>
      <c r="I218" t="s">
        <v>912</v>
      </c>
      <c r="K218" t="b">
        <f>IF(Table1[[#This Row],[dispatch_date]]-Table1[[#This Row],[order_date]] &gt;=0, TRUE, FALSE)</f>
        <v>1</v>
      </c>
    </row>
    <row r="219" spans="1:11" x14ac:dyDescent="0.2">
      <c r="A219" t="s">
        <v>1475</v>
      </c>
      <c r="B219" t="s">
        <v>1018</v>
      </c>
      <c r="C219" s="9">
        <v>45739</v>
      </c>
      <c r="D219" s="9">
        <v>45739</v>
      </c>
      <c r="E219" t="s">
        <v>86</v>
      </c>
      <c r="F219" t="s">
        <v>217</v>
      </c>
      <c r="G219">
        <v>48</v>
      </c>
      <c r="H219">
        <v>145.46</v>
      </c>
      <c r="I219" t="s">
        <v>916</v>
      </c>
      <c r="K219" t="b">
        <f>IF(Table1[[#This Row],[dispatch_date]]-Table1[[#This Row],[order_date]] &gt;=0, TRUE, FALSE)</f>
        <v>1</v>
      </c>
    </row>
    <row r="220" spans="1:11" x14ac:dyDescent="0.2">
      <c r="A220" t="s">
        <v>1416</v>
      </c>
      <c r="B220" t="s">
        <v>1034</v>
      </c>
      <c r="C220" s="9">
        <v>45740</v>
      </c>
      <c r="D220" s="9">
        <v>45742</v>
      </c>
      <c r="E220" t="s">
        <v>17</v>
      </c>
      <c r="F220" t="s">
        <v>585</v>
      </c>
      <c r="G220">
        <v>72</v>
      </c>
      <c r="H220">
        <v>431.28</v>
      </c>
      <c r="I220" t="s">
        <v>938</v>
      </c>
      <c r="K220" t="b">
        <f>IF(Table1[[#This Row],[dispatch_date]]-Table1[[#This Row],[order_date]] &gt;=0, TRUE, FALSE)</f>
        <v>1</v>
      </c>
    </row>
    <row r="221" spans="1:11" x14ac:dyDescent="0.2">
      <c r="A221" t="s">
        <v>1492</v>
      </c>
      <c r="B221" t="s">
        <v>1018</v>
      </c>
      <c r="C221" s="9">
        <v>45740</v>
      </c>
      <c r="D221" s="9">
        <v>45741</v>
      </c>
      <c r="E221" t="s">
        <v>121</v>
      </c>
      <c r="F221" t="s">
        <v>597</v>
      </c>
      <c r="G221">
        <v>24</v>
      </c>
      <c r="H221">
        <v>308.16000000000003</v>
      </c>
      <c r="I221" t="s">
        <v>916</v>
      </c>
      <c r="K221" t="b">
        <f>IF(Table1[[#This Row],[dispatch_date]]-Table1[[#This Row],[order_date]] &gt;=0, TRUE, FALSE)</f>
        <v>1</v>
      </c>
    </row>
    <row r="222" spans="1:11" x14ac:dyDescent="0.2">
      <c r="A222" t="s">
        <v>2200</v>
      </c>
      <c r="B222" t="s">
        <v>901</v>
      </c>
      <c r="C222" s="9">
        <v>45740</v>
      </c>
      <c r="D222" s="9">
        <v>45740</v>
      </c>
      <c r="E222" t="s">
        <v>38</v>
      </c>
      <c r="F222" t="s">
        <v>889</v>
      </c>
      <c r="G222">
        <v>24</v>
      </c>
      <c r="H222">
        <v>122.4</v>
      </c>
      <c r="I222" t="s">
        <v>956</v>
      </c>
      <c r="K222" t="b">
        <f>IF(Table1[[#This Row],[dispatch_date]]-Table1[[#This Row],[order_date]] &gt;=0, TRUE, FALSE)</f>
        <v>1</v>
      </c>
    </row>
    <row r="223" spans="1:11" x14ac:dyDescent="0.2">
      <c r="A223" t="s">
        <v>1112</v>
      </c>
      <c r="B223" t="s">
        <v>985</v>
      </c>
      <c r="C223" s="9">
        <v>45741</v>
      </c>
      <c r="D223" s="9">
        <v>45742</v>
      </c>
      <c r="E223" t="s">
        <v>105</v>
      </c>
      <c r="F223" t="s">
        <v>707</v>
      </c>
      <c r="G223">
        <v>24</v>
      </c>
      <c r="H223">
        <v>142.80000000000001</v>
      </c>
      <c r="I223" t="s">
        <v>1079</v>
      </c>
      <c r="K223" t="b">
        <f>IF(Table1[[#This Row],[dispatch_date]]-Table1[[#This Row],[order_date]] &gt;=0, TRUE, FALSE)</f>
        <v>1</v>
      </c>
    </row>
    <row r="224" spans="1:11" x14ac:dyDescent="0.2">
      <c r="A224" t="s">
        <v>1757</v>
      </c>
      <c r="B224" t="s">
        <v>1061</v>
      </c>
      <c r="C224" s="9">
        <v>45741</v>
      </c>
      <c r="D224" s="9">
        <v>45742</v>
      </c>
      <c r="E224" t="s">
        <v>116</v>
      </c>
      <c r="F224" t="s">
        <v>638</v>
      </c>
      <c r="G224">
        <v>12</v>
      </c>
      <c r="H224">
        <v>58.08</v>
      </c>
      <c r="I224" t="s">
        <v>912</v>
      </c>
      <c r="K224" t="b">
        <f>IF(Table1[[#This Row],[dispatch_date]]-Table1[[#This Row],[order_date]] &gt;=0, TRUE, FALSE)</f>
        <v>1</v>
      </c>
    </row>
    <row r="225" spans="1:11" x14ac:dyDescent="0.2">
      <c r="A225" t="s">
        <v>1758</v>
      </c>
      <c r="B225" t="s">
        <v>922</v>
      </c>
      <c r="C225" s="9">
        <v>45741</v>
      </c>
      <c r="D225" s="9">
        <v>45743</v>
      </c>
      <c r="E225" t="s">
        <v>99</v>
      </c>
      <c r="F225" t="s">
        <v>763</v>
      </c>
      <c r="G225">
        <v>48</v>
      </c>
      <c r="H225">
        <v>354.72</v>
      </c>
      <c r="I225" t="s">
        <v>912</v>
      </c>
      <c r="K225" t="b">
        <f>IF(Table1[[#This Row],[dispatch_date]]-Table1[[#This Row],[order_date]] &gt;=0, TRUE, FALSE)</f>
        <v>1</v>
      </c>
    </row>
    <row r="226" spans="1:11" x14ac:dyDescent="0.2">
      <c r="A226" t="s">
        <v>2051</v>
      </c>
      <c r="B226" t="s">
        <v>910</v>
      </c>
      <c r="C226" s="9">
        <v>45741</v>
      </c>
      <c r="D226" s="9">
        <v>45744</v>
      </c>
      <c r="E226" t="s">
        <v>8</v>
      </c>
      <c r="G226">
        <v>24</v>
      </c>
      <c r="H226">
        <v>144.72</v>
      </c>
      <c r="I226" t="s">
        <v>912</v>
      </c>
      <c r="K226" t="b">
        <f>IF(Table1[[#This Row],[dispatch_date]]-Table1[[#This Row],[order_date]] &gt;=0, TRUE, FALSE)</f>
        <v>1</v>
      </c>
    </row>
    <row r="227" spans="1:11" x14ac:dyDescent="0.2">
      <c r="A227" t="s">
        <v>1677</v>
      </c>
      <c r="B227" t="s">
        <v>960</v>
      </c>
      <c r="C227" s="9">
        <v>45742</v>
      </c>
      <c r="D227" s="9">
        <v>45744</v>
      </c>
      <c r="E227" t="s">
        <v>86</v>
      </c>
      <c r="F227" t="s">
        <v>766</v>
      </c>
      <c r="G227">
        <v>6</v>
      </c>
      <c r="H227">
        <v>19.14</v>
      </c>
      <c r="I227" t="s">
        <v>938</v>
      </c>
      <c r="K227" t="b">
        <f>IF(Table1[[#This Row],[dispatch_date]]-Table1[[#This Row],[order_date]] &gt;=0, TRUE, FALSE)</f>
        <v>1</v>
      </c>
    </row>
    <row r="228" spans="1:11" x14ac:dyDescent="0.2">
      <c r="A228" t="s">
        <v>1891</v>
      </c>
      <c r="B228" t="s">
        <v>1076</v>
      </c>
      <c r="C228" s="9">
        <v>45742</v>
      </c>
      <c r="D228" s="9">
        <v>45745</v>
      </c>
      <c r="E228" t="s">
        <v>42</v>
      </c>
      <c r="F228" t="s">
        <v>411</v>
      </c>
      <c r="G228">
        <v>24</v>
      </c>
      <c r="H228">
        <v>78.48</v>
      </c>
      <c r="I228" t="s">
        <v>927</v>
      </c>
      <c r="K228" t="b">
        <f>IF(Table1[[#This Row],[dispatch_date]]-Table1[[#This Row],[order_date]] &gt;=0, TRUE, FALSE)</f>
        <v>1</v>
      </c>
    </row>
    <row r="229" spans="1:11" x14ac:dyDescent="0.2">
      <c r="A229" t="s">
        <v>2087</v>
      </c>
      <c r="B229" t="s">
        <v>1004</v>
      </c>
      <c r="C229" s="9">
        <v>45742</v>
      </c>
      <c r="D229" s="9">
        <v>45742</v>
      </c>
      <c r="E229" t="s">
        <v>116</v>
      </c>
      <c r="F229" t="s">
        <v>386</v>
      </c>
      <c r="G229">
        <v>36</v>
      </c>
      <c r="H229">
        <v>174.24</v>
      </c>
      <c r="I229" t="s">
        <v>927</v>
      </c>
      <c r="K229" t="b">
        <f>IF(Table1[[#This Row],[dispatch_date]]-Table1[[#This Row],[order_date]] &gt;=0, TRUE, FALSE)</f>
        <v>1</v>
      </c>
    </row>
    <row r="230" spans="1:11" x14ac:dyDescent="0.2">
      <c r="A230" t="s">
        <v>2192</v>
      </c>
      <c r="B230" t="s">
        <v>965</v>
      </c>
      <c r="C230" s="9">
        <v>45742</v>
      </c>
      <c r="D230" s="9">
        <v>45742</v>
      </c>
      <c r="E230" t="s">
        <v>48</v>
      </c>
      <c r="F230" t="s">
        <v>198</v>
      </c>
      <c r="G230">
        <v>12</v>
      </c>
      <c r="H230">
        <v>80.88</v>
      </c>
      <c r="I230" t="s">
        <v>956</v>
      </c>
      <c r="K230" t="b">
        <f>IF(Table1[[#This Row],[dispatch_date]]-Table1[[#This Row],[order_date]] &gt;=0, TRUE, FALSE)</f>
        <v>1</v>
      </c>
    </row>
    <row r="231" spans="1:11" x14ac:dyDescent="0.2">
      <c r="A231" t="s">
        <v>2197</v>
      </c>
      <c r="B231" t="s">
        <v>1011</v>
      </c>
      <c r="C231" s="9">
        <v>45742</v>
      </c>
      <c r="D231" s="9">
        <v>45742</v>
      </c>
      <c r="E231" t="s">
        <v>14</v>
      </c>
      <c r="F231" t="s">
        <v>621</v>
      </c>
      <c r="G231">
        <v>24</v>
      </c>
      <c r="H231">
        <v>87.6</v>
      </c>
      <c r="I231" t="s">
        <v>916</v>
      </c>
      <c r="K231" t="b">
        <f>IF(Table1[[#This Row],[dispatch_date]]-Table1[[#This Row],[order_date]] &gt;=0, TRUE, FALSE)</f>
        <v>1</v>
      </c>
    </row>
    <row r="232" spans="1:11" x14ac:dyDescent="0.2">
      <c r="A232" t="s">
        <v>2600</v>
      </c>
      <c r="B232" t="s">
        <v>1067</v>
      </c>
      <c r="C232" s="9">
        <v>45742</v>
      </c>
      <c r="D232" s="9">
        <v>45744</v>
      </c>
      <c r="E232" t="s">
        <v>116</v>
      </c>
      <c r="G232">
        <v>24</v>
      </c>
      <c r="H232">
        <v>110.35</v>
      </c>
      <c r="I232" t="s">
        <v>1079</v>
      </c>
      <c r="K232" t="b">
        <f>IF(Table1[[#This Row],[dispatch_date]]-Table1[[#This Row],[order_date]] &gt;=0, TRUE, FALSE)</f>
        <v>1</v>
      </c>
    </row>
    <row r="233" spans="1:11" x14ac:dyDescent="0.2">
      <c r="A233" t="s">
        <v>2626</v>
      </c>
      <c r="B233" t="s">
        <v>989</v>
      </c>
      <c r="C233" s="9">
        <v>45742</v>
      </c>
      <c r="D233" s="9">
        <v>45744</v>
      </c>
      <c r="E233" t="s">
        <v>54</v>
      </c>
      <c r="F233" t="s">
        <v>449</v>
      </c>
      <c r="G233">
        <v>24</v>
      </c>
      <c r="H233">
        <v>106.32</v>
      </c>
      <c r="I233" t="s">
        <v>938</v>
      </c>
      <c r="K233" t="b">
        <f>IF(Table1[[#This Row],[dispatch_date]]-Table1[[#This Row],[order_date]] &gt;=0, TRUE, FALSE)</f>
        <v>1</v>
      </c>
    </row>
    <row r="234" spans="1:11" x14ac:dyDescent="0.2">
      <c r="A234" t="s">
        <v>1711</v>
      </c>
      <c r="B234" t="s">
        <v>945</v>
      </c>
      <c r="C234" s="9">
        <v>45743</v>
      </c>
      <c r="D234" s="9">
        <v>45743</v>
      </c>
      <c r="E234" t="s">
        <v>17</v>
      </c>
      <c r="F234" t="s">
        <v>878</v>
      </c>
      <c r="G234">
        <v>6</v>
      </c>
      <c r="H234">
        <v>35.94</v>
      </c>
      <c r="I234" t="s">
        <v>938</v>
      </c>
      <c r="K234" t="b">
        <f>IF(Table1[[#This Row],[dispatch_date]]-Table1[[#This Row],[order_date]] &gt;=0, TRUE, FALSE)</f>
        <v>1</v>
      </c>
    </row>
    <row r="235" spans="1:11" x14ac:dyDescent="0.2">
      <c r="A235" t="s">
        <v>2022</v>
      </c>
      <c r="B235" t="s">
        <v>1061</v>
      </c>
      <c r="C235" s="9">
        <v>45743</v>
      </c>
      <c r="D235" s="9">
        <v>45744</v>
      </c>
      <c r="E235" t="s">
        <v>86</v>
      </c>
      <c r="F235" t="s">
        <v>217</v>
      </c>
      <c r="G235">
        <v>48</v>
      </c>
      <c r="H235">
        <v>153.12</v>
      </c>
      <c r="I235" t="s">
        <v>912</v>
      </c>
      <c r="K235" t="b">
        <f>IF(Table1[[#This Row],[dispatch_date]]-Table1[[#This Row],[order_date]] &gt;=0, TRUE, FALSE)</f>
        <v>1</v>
      </c>
    </row>
    <row r="236" spans="1:11" x14ac:dyDescent="0.2">
      <c r="A236" t="s">
        <v>2308</v>
      </c>
      <c r="B236" t="s">
        <v>971</v>
      </c>
      <c r="C236" s="9">
        <v>45743</v>
      </c>
      <c r="D236" s="9">
        <v>45745</v>
      </c>
      <c r="E236" t="s">
        <v>90</v>
      </c>
      <c r="G236">
        <v>36</v>
      </c>
      <c r="H236">
        <v>302.39999999999998</v>
      </c>
      <c r="I236" t="s">
        <v>956</v>
      </c>
      <c r="K236" t="b">
        <f>IF(Table1[[#This Row],[dispatch_date]]-Table1[[#This Row],[order_date]] &gt;=0, TRUE, FALSE)</f>
        <v>1</v>
      </c>
    </row>
    <row r="237" spans="1:11" x14ac:dyDescent="0.2">
      <c r="A237" t="s">
        <v>1248</v>
      </c>
      <c r="B237" t="s">
        <v>1045</v>
      </c>
      <c r="C237" s="9">
        <v>45744</v>
      </c>
      <c r="D237" s="9">
        <v>45747</v>
      </c>
      <c r="E237" t="s">
        <v>97</v>
      </c>
      <c r="F237" t="s">
        <v>279</v>
      </c>
      <c r="G237">
        <v>6</v>
      </c>
      <c r="H237">
        <v>32.28</v>
      </c>
      <c r="I237" t="s">
        <v>912</v>
      </c>
      <c r="K237" t="b">
        <f>IF(Table1[[#This Row],[dispatch_date]]-Table1[[#This Row],[order_date]] &gt;=0, TRUE, FALSE)</f>
        <v>1</v>
      </c>
    </row>
    <row r="238" spans="1:11" x14ac:dyDescent="0.2">
      <c r="A238" t="s">
        <v>1457</v>
      </c>
      <c r="B238" t="s">
        <v>989</v>
      </c>
      <c r="C238" s="9">
        <v>45744</v>
      </c>
      <c r="D238" s="9">
        <v>45744</v>
      </c>
      <c r="E238" t="s">
        <v>54</v>
      </c>
      <c r="F238" t="s">
        <v>449</v>
      </c>
      <c r="G238">
        <v>24</v>
      </c>
      <c r="H238">
        <v>106.32</v>
      </c>
      <c r="I238" t="s">
        <v>916</v>
      </c>
      <c r="K238" t="b">
        <f>IF(Table1[[#This Row],[dispatch_date]]-Table1[[#This Row],[order_date]] &gt;=0, TRUE, FALSE)</f>
        <v>1</v>
      </c>
    </row>
    <row r="239" spans="1:11" x14ac:dyDescent="0.2">
      <c r="A239" t="s">
        <v>1712</v>
      </c>
      <c r="B239" t="s">
        <v>1011</v>
      </c>
      <c r="C239" s="9">
        <v>45744</v>
      </c>
      <c r="D239" s="9">
        <v>45746</v>
      </c>
      <c r="E239" t="s">
        <v>44</v>
      </c>
      <c r="F239" t="s">
        <v>662</v>
      </c>
      <c r="G239">
        <v>36</v>
      </c>
      <c r="H239">
        <v>217.8</v>
      </c>
      <c r="I239" t="s">
        <v>916</v>
      </c>
      <c r="K239" t="b">
        <f>IF(Table1[[#This Row],[dispatch_date]]-Table1[[#This Row],[order_date]] &gt;=0, TRUE, FALSE)</f>
        <v>1</v>
      </c>
    </row>
    <row r="240" spans="1:11" x14ac:dyDescent="0.2">
      <c r="A240" t="s">
        <v>2320</v>
      </c>
      <c r="B240" t="s">
        <v>1027</v>
      </c>
      <c r="C240" s="9">
        <v>45744</v>
      </c>
      <c r="D240" s="9">
        <v>45747</v>
      </c>
      <c r="E240" t="s">
        <v>114</v>
      </c>
      <c r="F240" t="s">
        <v>654</v>
      </c>
      <c r="G240">
        <v>36</v>
      </c>
      <c r="H240">
        <v>178.2</v>
      </c>
      <c r="I240" t="s">
        <v>916</v>
      </c>
      <c r="K240" t="b">
        <f>IF(Table1[[#This Row],[dispatch_date]]-Table1[[#This Row],[order_date]] &gt;=0, TRUE, FALSE)</f>
        <v>1</v>
      </c>
    </row>
    <row r="241" spans="1:11" x14ac:dyDescent="0.2">
      <c r="A241" t="s">
        <v>2323</v>
      </c>
      <c r="B241" t="s">
        <v>1069</v>
      </c>
      <c r="C241" s="9">
        <v>45744</v>
      </c>
      <c r="D241" s="9">
        <v>45745</v>
      </c>
      <c r="E241" t="s">
        <v>56</v>
      </c>
      <c r="F241" t="s">
        <v>606</v>
      </c>
      <c r="G241">
        <v>6</v>
      </c>
      <c r="H241">
        <v>35.28</v>
      </c>
      <c r="I241" t="s">
        <v>956</v>
      </c>
      <c r="K241" t="b">
        <f>IF(Table1[[#This Row],[dispatch_date]]-Table1[[#This Row],[order_date]] &gt;=0, TRUE, FALSE)</f>
        <v>1</v>
      </c>
    </row>
    <row r="242" spans="1:11" x14ac:dyDescent="0.2">
      <c r="A242" t="s">
        <v>2401</v>
      </c>
      <c r="B242" t="s">
        <v>1074</v>
      </c>
      <c r="C242" s="9">
        <v>45744</v>
      </c>
      <c r="D242" s="9">
        <v>45747</v>
      </c>
      <c r="E242" t="s">
        <v>17</v>
      </c>
      <c r="F242" t="s">
        <v>458</v>
      </c>
      <c r="G242">
        <v>12</v>
      </c>
      <c r="H242">
        <v>71.88</v>
      </c>
      <c r="I242" t="s">
        <v>916</v>
      </c>
      <c r="K242" t="b">
        <f>IF(Table1[[#This Row],[dispatch_date]]-Table1[[#This Row],[order_date]] &gt;=0, TRUE, FALSE)</f>
        <v>1</v>
      </c>
    </row>
    <row r="243" spans="1:11" x14ac:dyDescent="0.2">
      <c r="A243" t="s">
        <v>1738</v>
      </c>
      <c r="B243" t="s">
        <v>998</v>
      </c>
      <c r="C243" s="9">
        <v>45745</v>
      </c>
      <c r="D243" s="9">
        <v>45748</v>
      </c>
      <c r="E243" t="s">
        <v>84</v>
      </c>
      <c r="F243" t="s">
        <v>555</v>
      </c>
      <c r="G243">
        <v>24</v>
      </c>
      <c r="H243">
        <v>53.52</v>
      </c>
      <c r="I243" t="s">
        <v>1079</v>
      </c>
      <c r="K243" t="b">
        <f>IF(Table1[[#This Row],[dispatch_date]]-Table1[[#This Row],[order_date]] &gt;=0, TRUE, FALSE)</f>
        <v>1</v>
      </c>
    </row>
    <row r="244" spans="1:11" x14ac:dyDescent="0.2">
      <c r="A244" t="s">
        <v>1778</v>
      </c>
      <c r="B244" t="s">
        <v>1061</v>
      </c>
      <c r="C244" s="9">
        <v>45745</v>
      </c>
      <c r="D244" s="9">
        <v>45746</v>
      </c>
      <c r="E244" t="s">
        <v>52</v>
      </c>
      <c r="F244" t="s">
        <v>679</v>
      </c>
      <c r="G244">
        <v>36</v>
      </c>
      <c r="H244">
        <v>177.48</v>
      </c>
      <c r="I244" t="s">
        <v>956</v>
      </c>
      <c r="K244" t="b">
        <f>IF(Table1[[#This Row],[dispatch_date]]-Table1[[#This Row],[order_date]] &gt;=0, TRUE, FALSE)</f>
        <v>1</v>
      </c>
    </row>
    <row r="245" spans="1:11" x14ac:dyDescent="0.2">
      <c r="A245" t="s">
        <v>1804</v>
      </c>
      <c r="B245" t="s">
        <v>936</v>
      </c>
      <c r="C245" s="9">
        <v>45745</v>
      </c>
      <c r="D245" s="9">
        <v>45745</v>
      </c>
      <c r="E245" t="s">
        <v>118</v>
      </c>
      <c r="G245">
        <v>24</v>
      </c>
      <c r="H245">
        <v>315.36</v>
      </c>
      <c r="I245" t="s">
        <v>938</v>
      </c>
      <c r="K245" t="b">
        <f>IF(Table1[[#This Row],[dispatch_date]]-Table1[[#This Row],[order_date]] &gt;=0, TRUE, FALSE)</f>
        <v>1</v>
      </c>
    </row>
    <row r="246" spans="1:11" x14ac:dyDescent="0.2">
      <c r="A246" t="s">
        <v>2034</v>
      </c>
      <c r="B246" t="s">
        <v>1013</v>
      </c>
      <c r="C246" s="9">
        <v>45745</v>
      </c>
      <c r="D246" s="9">
        <v>45748</v>
      </c>
      <c r="E246" t="s">
        <v>125</v>
      </c>
      <c r="F246" t="s">
        <v>270</v>
      </c>
      <c r="G246">
        <v>6</v>
      </c>
      <c r="H246">
        <v>45.78</v>
      </c>
      <c r="I246" t="s">
        <v>956</v>
      </c>
      <c r="J246" t="s">
        <v>3134</v>
      </c>
      <c r="K246" t="b">
        <f>IF(Table1[[#This Row],[dispatch_date]]-Table1[[#This Row],[order_date]] &gt;=0, TRUE, FALSE)</f>
        <v>1</v>
      </c>
    </row>
    <row r="247" spans="1:11" x14ac:dyDescent="0.2">
      <c r="A247" t="s">
        <v>2143</v>
      </c>
      <c r="B247" t="s">
        <v>971</v>
      </c>
      <c r="C247" s="9">
        <v>45745</v>
      </c>
      <c r="D247" s="9">
        <v>45747</v>
      </c>
      <c r="E247" t="s">
        <v>22</v>
      </c>
      <c r="G247">
        <v>6</v>
      </c>
      <c r="H247">
        <v>29.82</v>
      </c>
      <c r="I247" t="s">
        <v>916</v>
      </c>
      <c r="K247" t="b">
        <f>IF(Table1[[#This Row],[dispatch_date]]-Table1[[#This Row],[order_date]] &gt;=0, TRUE, FALSE)</f>
        <v>1</v>
      </c>
    </row>
    <row r="248" spans="1:11" x14ac:dyDescent="0.2">
      <c r="A248" t="s">
        <v>1165</v>
      </c>
      <c r="B248" t="s">
        <v>925</v>
      </c>
      <c r="C248" s="9">
        <v>45746</v>
      </c>
      <c r="D248" s="9">
        <v>45749</v>
      </c>
      <c r="E248" t="s">
        <v>28</v>
      </c>
      <c r="F248" t="s">
        <v>355</v>
      </c>
      <c r="G248">
        <v>48</v>
      </c>
      <c r="H248">
        <v>275.52</v>
      </c>
      <c r="I248" t="s">
        <v>938</v>
      </c>
      <c r="K248" t="b">
        <f>IF(Table1[[#This Row],[dispatch_date]]-Table1[[#This Row],[order_date]] &gt;=0, TRUE, FALSE)</f>
        <v>1</v>
      </c>
    </row>
    <row r="249" spans="1:11" x14ac:dyDescent="0.2">
      <c r="A249" t="s">
        <v>1299</v>
      </c>
      <c r="B249" t="s">
        <v>1059</v>
      </c>
      <c r="C249" s="9">
        <v>45746</v>
      </c>
      <c r="D249" s="9">
        <v>45746</v>
      </c>
      <c r="E249" t="s">
        <v>88</v>
      </c>
      <c r="G249">
        <v>36</v>
      </c>
      <c r="H249">
        <v>148.68</v>
      </c>
      <c r="I249" t="s">
        <v>1079</v>
      </c>
      <c r="K249" t="b">
        <f>IF(Table1[[#This Row],[dispatch_date]]-Table1[[#This Row],[order_date]] &gt;=0, TRUE, FALSE)</f>
        <v>1</v>
      </c>
    </row>
    <row r="250" spans="1:11" x14ac:dyDescent="0.2">
      <c r="A250" t="s">
        <v>1748</v>
      </c>
      <c r="B250" t="s">
        <v>1046</v>
      </c>
      <c r="C250" s="9">
        <v>45746</v>
      </c>
      <c r="D250" s="9">
        <v>45746</v>
      </c>
      <c r="E250" t="s">
        <v>14</v>
      </c>
      <c r="F250" t="s">
        <v>201</v>
      </c>
      <c r="G250">
        <v>12</v>
      </c>
      <c r="H250">
        <v>41.61</v>
      </c>
      <c r="I250" t="s">
        <v>912</v>
      </c>
      <c r="K250" t="b">
        <f>IF(Table1[[#This Row],[dispatch_date]]-Table1[[#This Row],[order_date]] &gt;=0, TRUE, FALSE)</f>
        <v>1</v>
      </c>
    </row>
    <row r="251" spans="1:11" x14ac:dyDescent="0.2">
      <c r="A251" t="s">
        <v>1781</v>
      </c>
      <c r="B251" t="s">
        <v>960</v>
      </c>
      <c r="C251" s="9">
        <v>45746</v>
      </c>
      <c r="D251" s="9">
        <v>45749</v>
      </c>
      <c r="E251" t="s">
        <v>90</v>
      </c>
      <c r="F251" t="s">
        <v>759</v>
      </c>
      <c r="G251">
        <v>36</v>
      </c>
      <c r="H251">
        <v>302.39999999999998</v>
      </c>
      <c r="I251" t="s">
        <v>938</v>
      </c>
      <c r="J251" t="s">
        <v>3134</v>
      </c>
      <c r="K251" t="b">
        <f>IF(Table1[[#This Row],[dispatch_date]]-Table1[[#This Row],[order_date]] &gt;=0, TRUE, FALSE)</f>
        <v>1</v>
      </c>
    </row>
    <row r="252" spans="1:11" x14ac:dyDescent="0.2">
      <c r="A252" t="s">
        <v>2099</v>
      </c>
      <c r="B252" t="s">
        <v>968</v>
      </c>
      <c r="C252" s="9">
        <v>45746</v>
      </c>
      <c r="D252" s="9">
        <v>45748</v>
      </c>
      <c r="E252" t="s">
        <v>112</v>
      </c>
      <c r="F252" t="s">
        <v>650</v>
      </c>
      <c r="G252">
        <v>36</v>
      </c>
      <c r="H252">
        <v>216.36</v>
      </c>
      <c r="I252" t="s">
        <v>956</v>
      </c>
      <c r="K252" t="b">
        <f>IF(Table1[[#This Row],[dispatch_date]]-Table1[[#This Row],[order_date]] &gt;=0, TRUE, FALSE)</f>
        <v>1</v>
      </c>
    </row>
    <row r="253" spans="1:11" x14ac:dyDescent="0.2">
      <c r="A253" t="s">
        <v>1772</v>
      </c>
      <c r="B253" t="s">
        <v>1052</v>
      </c>
      <c r="C253" s="9">
        <v>45747</v>
      </c>
      <c r="D253" s="9"/>
      <c r="E253" t="s">
        <v>90</v>
      </c>
      <c r="F253" t="s">
        <v>759</v>
      </c>
      <c r="G253">
        <v>24</v>
      </c>
      <c r="H253">
        <v>201.6</v>
      </c>
      <c r="I253" t="s">
        <v>956</v>
      </c>
      <c r="K253" t="b">
        <f>IF(Table1[[#This Row],[dispatch_date]]-Table1[[#This Row],[order_date]] &gt;=0, TRUE, FALSE)</f>
        <v>0</v>
      </c>
    </row>
    <row r="254" spans="1:11" x14ac:dyDescent="0.2">
      <c r="A254" t="s">
        <v>2483</v>
      </c>
      <c r="B254" t="s">
        <v>996</v>
      </c>
      <c r="C254" s="9">
        <v>45747</v>
      </c>
      <c r="D254" s="9">
        <v>45750</v>
      </c>
      <c r="E254" t="s">
        <v>58</v>
      </c>
      <c r="F254" t="s">
        <v>372</v>
      </c>
      <c r="G254">
        <v>24</v>
      </c>
      <c r="H254">
        <v>151.19999999999999</v>
      </c>
      <c r="I254" t="s">
        <v>956</v>
      </c>
      <c r="K254" t="b">
        <f>IF(Table1[[#This Row],[dispatch_date]]-Table1[[#This Row],[order_date]] &gt;=0, TRUE, FALSE)</f>
        <v>1</v>
      </c>
    </row>
    <row r="255" spans="1:11" x14ac:dyDescent="0.2">
      <c r="A255" t="s">
        <v>1161</v>
      </c>
      <c r="B255" t="s">
        <v>976</v>
      </c>
      <c r="C255" s="9">
        <v>45748</v>
      </c>
      <c r="D255" s="9">
        <v>45751</v>
      </c>
      <c r="E255" t="s">
        <v>80</v>
      </c>
      <c r="G255">
        <v>48</v>
      </c>
      <c r="H255">
        <v>285.60000000000002</v>
      </c>
      <c r="I255" t="s">
        <v>938</v>
      </c>
      <c r="K255" t="b">
        <f>IF(Table1[[#This Row],[dispatch_date]]-Table1[[#This Row],[order_date]] &gt;=0, TRUE, FALSE)</f>
        <v>1</v>
      </c>
    </row>
    <row r="256" spans="1:11" x14ac:dyDescent="0.2">
      <c r="A256" t="s">
        <v>1322</v>
      </c>
      <c r="B256" t="s">
        <v>945</v>
      </c>
      <c r="C256" s="9">
        <v>45748</v>
      </c>
      <c r="D256" s="9">
        <v>45751</v>
      </c>
      <c r="E256" t="s">
        <v>8</v>
      </c>
      <c r="F256" t="s">
        <v>599</v>
      </c>
      <c r="G256">
        <v>36</v>
      </c>
      <c r="H256">
        <v>217.08</v>
      </c>
      <c r="I256" t="s">
        <v>938</v>
      </c>
      <c r="K256" t="b">
        <f>IF(Table1[[#This Row],[dispatch_date]]-Table1[[#This Row],[order_date]] &gt;=0, TRUE, FALSE)</f>
        <v>1</v>
      </c>
    </row>
    <row r="257" spans="1:11" x14ac:dyDescent="0.2">
      <c r="A257" t="s">
        <v>2392</v>
      </c>
      <c r="B257" t="s">
        <v>929</v>
      </c>
      <c r="C257" s="9">
        <v>45748</v>
      </c>
      <c r="D257" s="9">
        <v>45751</v>
      </c>
      <c r="E257" t="s">
        <v>40</v>
      </c>
      <c r="F257" t="s">
        <v>771</v>
      </c>
      <c r="G257">
        <v>72</v>
      </c>
      <c r="H257">
        <v>280.08</v>
      </c>
      <c r="I257" t="s">
        <v>912</v>
      </c>
      <c r="K257" t="b">
        <f>IF(Table1[[#This Row],[dispatch_date]]-Table1[[#This Row],[order_date]] &gt;=0, TRUE, FALSE)</f>
        <v>1</v>
      </c>
    </row>
    <row r="258" spans="1:11" x14ac:dyDescent="0.2">
      <c r="A258" t="s">
        <v>1489</v>
      </c>
      <c r="B258" t="s">
        <v>1034</v>
      </c>
      <c r="C258" s="9">
        <v>45749</v>
      </c>
      <c r="D258" s="9">
        <v>45749</v>
      </c>
      <c r="E258" t="s">
        <v>108</v>
      </c>
      <c r="G258">
        <v>12</v>
      </c>
      <c r="H258">
        <v>81.400000000000006</v>
      </c>
      <c r="I258" t="s">
        <v>938</v>
      </c>
      <c r="K258" t="b">
        <f>IF(Table1[[#This Row],[dispatch_date]]-Table1[[#This Row],[order_date]] &gt;=0, TRUE, FALSE)</f>
        <v>1</v>
      </c>
    </row>
    <row r="259" spans="1:11" x14ac:dyDescent="0.2">
      <c r="A259" t="s">
        <v>1767</v>
      </c>
      <c r="B259" t="s">
        <v>973</v>
      </c>
      <c r="C259" s="9">
        <v>45750</v>
      </c>
      <c r="D259" s="9">
        <v>45750</v>
      </c>
      <c r="E259" t="s">
        <v>44</v>
      </c>
      <c r="F259" t="s">
        <v>324</v>
      </c>
      <c r="G259">
        <v>24</v>
      </c>
      <c r="H259">
        <v>145.19999999999999</v>
      </c>
      <c r="I259" t="s">
        <v>1079</v>
      </c>
      <c r="K259" t="b">
        <f>IF(Table1[[#This Row],[dispatch_date]]-Table1[[#This Row],[order_date]] &gt;=0, TRUE, FALSE)</f>
        <v>1</v>
      </c>
    </row>
    <row r="260" spans="1:11" x14ac:dyDescent="0.2">
      <c r="A260" t="s">
        <v>2189</v>
      </c>
      <c r="B260" t="s">
        <v>951</v>
      </c>
      <c r="C260" s="9">
        <v>45750</v>
      </c>
      <c r="D260" s="9">
        <v>45752</v>
      </c>
      <c r="E260" t="s">
        <v>56</v>
      </c>
      <c r="G260">
        <v>72</v>
      </c>
      <c r="H260">
        <v>423.36</v>
      </c>
      <c r="I260" t="s">
        <v>956</v>
      </c>
      <c r="K260" t="b">
        <f>IF(Table1[[#This Row],[dispatch_date]]-Table1[[#This Row],[order_date]] &gt;=0, TRUE, FALSE)</f>
        <v>1</v>
      </c>
    </row>
    <row r="261" spans="1:11" x14ac:dyDescent="0.2">
      <c r="A261" t="s">
        <v>2429</v>
      </c>
      <c r="B261" t="s">
        <v>936</v>
      </c>
      <c r="C261" s="9">
        <v>45750</v>
      </c>
      <c r="D261" s="9">
        <v>45753</v>
      </c>
      <c r="E261" t="s">
        <v>63</v>
      </c>
      <c r="F261" t="s">
        <v>744</v>
      </c>
      <c r="G261">
        <v>48</v>
      </c>
      <c r="H261">
        <v>470.4</v>
      </c>
      <c r="I261" t="s">
        <v>938</v>
      </c>
      <c r="K261" t="b">
        <f>IF(Table1[[#This Row],[dispatch_date]]-Table1[[#This Row],[order_date]] &gt;=0, TRUE, FALSE)</f>
        <v>1</v>
      </c>
    </row>
    <row r="262" spans="1:11" x14ac:dyDescent="0.2">
      <c r="A262" t="s">
        <v>2519</v>
      </c>
      <c r="B262" t="s">
        <v>991</v>
      </c>
      <c r="C262" s="9">
        <v>45750</v>
      </c>
      <c r="D262" s="9">
        <v>45752</v>
      </c>
      <c r="E262" t="s">
        <v>74</v>
      </c>
      <c r="F262" t="s">
        <v>708</v>
      </c>
      <c r="G262">
        <v>6</v>
      </c>
      <c r="H262">
        <v>12.9</v>
      </c>
      <c r="I262" t="s">
        <v>956</v>
      </c>
      <c r="K262" t="b">
        <f>IF(Table1[[#This Row],[dispatch_date]]-Table1[[#This Row],[order_date]] &gt;=0, TRUE, FALSE)</f>
        <v>1</v>
      </c>
    </row>
    <row r="263" spans="1:11" x14ac:dyDescent="0.2">
      <c r="A263" t="s">
        <v>2808</v>
      </c>
      <c r="B263" t="s">
        <v>1013</v>
      </c>
      <c r="C263" s="9">
        <v>45750</v>
      </c>
      <c r="D263" s="9">
        <v>45752</v>
      </c>
      <c r="E263" t="s">
        <v>129</v>
      </c>
      <c r="F263" t="s">
        <v>660</v>
      </c>
      <c r="G263">
        <v>72</v>
      </c>
      <c r="H263">
        <v>342</v>
      </c>
      <c r="I263" t="s">
        <v>956</v>
      </c>
      <c r="K263" t="b">
        <f>IF(Table1[[#This Row],[dispatch_date]]-Table1[[#This Row],[order_date]] &gt;=0, TRUE, FALSE)</f>
        <v>1</v>
      </c>
    </row>
    <row r="264" spans="1:11" x14ac:dyDescent="0.2">
      <c r="A264" t="s">
        <v>1104</v>
      </c>
      <c r="B264" t="s">
        <v>918</v>
      </c>
      <c r="C264" s="9">
        <v>45751</v>
      </c>
      <c r="D264" s="9"/>
      <c r="E264" t="s">
        <v>28</v>
      </c>
      <c r="G264">
        <v>36</v>
      </c>
      <c r="H264">
        <v>206.64</v>
      </c>
      <c r="I264" t="s">
        <v>912</v>
      </c>
      <c r="K264" t="b">
        <f>IF(Table1[[#This Row],[dispatch_date]]-Table1[[#This Row],[order_date]] &gt;=0, TRUE, FALSE)</f>
        <v>0</v>
      </c>
    </row>
    <row r="265" spans="1:11" x14ac:dyDescent="0.2">
      <c r="A265" t="s">
        <v>2042</v>
      </c>
      <c r="B265" t="s">
        <v>968</v>
      </c>
      <c r="C265" s="9">
        <v>45751</v>
      </c>
      <c r="D265" s="9">
        <v>45754</v>
      </c>
      <c r="E265" t="s">
        <v>71</v>
      </c>
      <c r="G265">
        <v>24</v>
      </c>
      <c r="H265">
        <v>228.24</v>
      </c>
      <c r="I265" t="s">
        <v>1079</v>
      </c>
      <c r="K265" t="b">
        <f>IF(Table1[[#This Row],[dispatch_date]]-Table1[[#This Row],[order_date]] &gt;=0, TRUE, FALSE)</f>
        <v>1</v>
      </c>
    </row>
    <row r="266" spans="1:11" x14ac:dyDescent="0.2">
      <c r="A266" t="s">
        <v>2092</v>
      </c>
      <c r="B266" t="s">
        <v>906</v>
      </c>
      <c r="C266" s="9">
        <v>45751</v>
      </c>
      <c r="D266" s="9">
        <v>45754</v>
      </c>
      <c r="E266" t="s">
        <v>67</v>
      </c>
      <c r="F266" t="s">
        <v>751</v>
      </c>
      <c r="G266">
        <v>12</v>
      </c>
      <c r="H266">
        <v>63.6</v>
      </c>
      <c r="I266" t="s">
        <v>938</v>
      </c>
      <c r="K266" t="b">
        <f>IF(Table1[[#This Row],[dispatch_date]]-Table1[[#This Row],[order_date]] &gt;=0, TRUE, FALSE)</f>
        <v>1</v>
      </c>
    </row>
    <row r="267" spans="1:11" x14ac:dyDescent="0.2">
      <c r="A267" t="s">
        <v>2157</v>
      </c>
      <c r="B267" t="s">
        <v>993</v>
      </c>
      <c r="C267" s="9">
        <v>45751</v>
      </c>
      <c r="D267" s="9">
        <v>45753</v>
      </c>
      <c r="E267" t="s">
        <v>58</v>
      </c>
      <c r="F267" t="s">
        <v>505</v>
      </c>
      <c r="G267">
        <v>36</v>
      </c>
      <c r="H267">
        <v>226.8</v>
      </c>
      <c r="I267" t="s">
        <v>938</v>
      </c>
      <c r="K267" t="b">
        <f>IF(Table1[[#This Row],[dispatch_date]]-Table1[[#This Row],[order_date]] &gt;=0, TRUE, FALSE)</f>
        <v>1</v>
      </c>
    </row>
    <row r="268" spans="1:11" x14ac:dyDescent="0.2">
      <c r="A268" t="s">
        <v>2524</v>
      </c>
      <c r="B268" t="s">
        <v>922</v>
      </c>
      <c r="C268" s="9">
        <v>45751</v>
      </c>
      <c r="D268" s="9">
        <v>45752</v>
      </c>
      <c r="E268" t="s">
        <v>95</v>
      </c>
      <c r="F268" t="s">
        <v>321</v>
      </c>
      <c r="G268">
        <v>48</v>
      </c>
      <c r="H268">
        <v>189.12</v>
      </c>
      <c r="I268" t="s">
        <v>912</v>
      </c>
      <c r="K268" t="b">
        <f>IF(Table1[[#This Row],[dispatch_date]]-Table1[[#This Row],[order_date]] &gt;=0, TRUE, FALSE)</f>
        <v>1</v>
      </c>
    </row>
    <row r="269" spans="1:11" x14ac:dyDescent="0.2">
      <c r="A269" t="s">
        <v>2608</v>
      </c>
      <c r="B269" t="s">
        <v>991</v>
      </c>
      <c r="C269" s="9">
        <v>45751</v>
      </c>
      <c r="D269" s="9">
        <v>45752</v>
      </c>
      <c r="E269" t="s">
        <v>36</v>
      </c>
      <c r="F269" t="s">
        <v>632</v>
      </c>
      <c r="G269">
        <v>12</v>
      </c>
      <c r="H269">
        <v>20.52</v>
      </c>
      <c r="I269" t="s">
        <v>956</v>
      </c>
      <c r="K269" t="b">
        <f>IF(Table1[[#This Row],[dispatch_date]]-Table1[[#This Row],[order_date]] &gt;=0, TRUE, FALSE)</f>
        <v>1</v>
      </c>
    </row>
    <row r="270" spans="1:11" x14ac:dyDescent="0.2">
      <c r="A270" t="s">
        <v>2664</v>
      </c>
      <c r="B270" t="s">
        <v>914</v>
      </c>
      <c r="C270" s="9">
        <v>45751</v>
      </c>
      <c r="D270" s="9">
        <v>45753</v>
      </c>
      <c r="E270" t="s">
        <v>63</v>
      </c>
      <c r="F270" t="s">
        <v>249</v>
      </c>
      <c r="G270">
        <v>6</v>
      </c>
      <c r="H270">
        <v>58.8</v>
      </c>
      <c r="I270" t="s">
        <v>927</v>
      </c>
      <c r="K270" t="b">
        <f>IF(Table1[[#This Row],[dispatch_date]]-Table1[[#This Row],[order_date]] &gt;=0, TRUE, FALSE)</f>
        <v>1</v>
      </c>
    </row>
    <row r="271" spans="1:11" x14ac:dyDescent="0.2">
      <c r="A271" t="s">
        <v>1391</v>
      </c>
      <c r="B271" t="s">
        <v>985</v>
      </c>
      <c r="C271" s="9">
        <v>45781</v>
      </c>
      <c r="D271" s="9">
        <v>45783</v>
      </c>
      <c r="E271" t="s">
        <v>30</v>
      </c>
      <c r="F271" t="s">
        <v>872</v>
      </c>
      <c r="G271">
        <v>24</v>
      </c>
      <c r="H271">
        <v>57.6</v>
      </c>
      <c r="I271" t="s">
        <v>1079</v>
      </c>
      <c r="K271" t="b">
        <f>IF(Table1[[#This Row],[dispatch_date]]-Table1[[#This Row],[order_date]] &gt;=0, TRUE, FALSE)</f>
        <v>1</v>
      </c>
    </row>
    <row r="272" spans="1:11" x14ac:dyDescent="0.2">
      <c r="A272" t="s">
        <v>1626</v>
      </c>
      <c r="B272" t="s">
        <v>958</v>
      </c>
      <c r="C272" s="9">
        <v>45752</v>
      </c>
      <c r="D272" s="9">
        <v>45754</v>
      </c>
      <c r="E272" t="s">
        <v>86</v>
      </c>
      <c r="F272" t="s">
        <v>666</v>
      </c>
      <c r="G272">
        <v>72</v>
      </c>
      <c r="H272">
        <v>229.68</v>
      </c>
      <c r="I272" t="s">
        <v>956</v>
      </c>
      <c r="K272" t="b">
        <f>IF(Table1[[#This Row],[dispatch_date]]-Table1[[#This Row],[order_date]] &gt;=0, TRUE, FALSE)</f>
        <v>1</v>
      </c>
    </row>
    <row r="273" spans="1:11" x14ac:dyDescent="0.2">
      <c r="A273" t="s">
        <v>1830</v>
      </c>
      <c r="B273" t="s">
        <v>962</v>
      </c>
      <c r="C273" s="9">
        <v>45752</v>
      </c>
      <c r="D273" s="9">
        <v>45754</v>
      </c>
      <c r="E273" t="s">
        <v>33</v>
      </c>
      <c r="F273" t="s">
        <v>478</v>
      </c>
      <c r="G273">
        <v>72</v>
      </c>
      <c r="H273">
        <v>159.12</v>
      </c>
      <c r="I273" t="s">
        <v>956</v>
      </c>
      <c r="K273" t="b">
        <f>IF(Table1[[#This Row],[dispatch_date]]-Table1[[#This Row],[order_date]] &gt;=0, TRUE, FALSE)</f>
        <v>1</v>
      </c>
    </row>
    <row r="274" spans="1:11" x14ac:dyDescent="0.2">
      <c r="A274" t="s">
        <v>1880</v>
      </c>
      <c r="B274" t="s">
        <v>1072</v>
      </c>
      <c r="C274" s="9">
        <v>45752</v>
      </c>
      <c r="D274" s="9">
        <v>45753</v>
      </c>
      <c r="E274" t="s">
        <v>19</v>
      </c>
      <c r="F274" t="s">
        <v>367</v>
      </c>
      <c r="G274">
        <v>36</v>
      </c>
      <c r="H274">
        <v>69.430000000000007</v>
      </c>
      <c r="I274" t="s">
        <v>956</v>
      </c>
      <c r="K274" t="b">
        <f>IF(Table1[[#This Row],[dispatch_date]]-Table1[[#This Row],[order_date]] &gt;=0, TRUE, FALSE)</f>
        <v>1</v>
      </c>
    </row>
    <row r="275" spans="1:11" x14ac:dyDescent="0.2">
      <c r="A275" t="s">
        <v>2108</v>
      </c>
      <c r="B275" t="s">
        <v>1046</v>
      </c>
      <c r="C275" s="9">
        <v>45752</v>
      </c>
      <c r="D275" s="9">
        <v>45755</v>
      </c>
      <c r="E275" t="s">
        <v>25</v>
      </c>
      <c r="F275" t="s">
        <v>794</v>
      </c>
      <c r="G275">
        <v>24</v>
      </c>
      <c r="H275">
        <v>133.19999999999999</v>
      </c>
      <c r="I275" t="s">
        <v>956</v>
      </c>
      <c r="K275" t="b">
        <f>IF(Table1[[#This Row],[dispatch_date]]-Table1[[#This Row],[order_date]] &gt;=0, TRUE, FALSE)</f>
        <v>1</v>
      </c>
    </row>
    <row r="276" spans="1:11" x14ac:dyDescent="0.2">
      <c r="A276" t="s">
        <v>2181</v>
      </c>
      <c r="B276" t="s">
        <v>925</v>
      </c>
      <c r="C276" s="9">
        <v>45752</v>
      </c>
      <c r="D276" s="9">
        <v>45755</v>
      </c>
      <c r="E276" t="s">
        <v>78</v>
      </c>
      <c r="F276" t="s">
        <v>273</v>
      </c>
      <c r="G276">
        <v>72</v>
      </c>
      <c r="H276">
        <v>230.4</v>
      </c>
      <c r="I276" t="s">
        <v>938</v>
      </c>
      <c r="K276" t="b">
        <f>IF(Table1[[#This Row],[dispatch_date]]-Table1[[#This Row],[order_date]] &gt;=0, TRUE, FALSE)</f>
        <v>1</v>
      </c>
    </row>
    <row r="277" spans="1:11" x14ac:dyDescent="0.2">
      <c r="A277" t="s">
        <v>2412</v>
      </c>
      <c r="B277" t="s">
        <v>1004</v>
      </c>
      <c r="C277" s="9">
        <v>45752</v>
      </c>
      <c r="D277" s="9">
        <v>45753</v>
      </c>
      <c r="E277" t="s">
        <v>78</v>
      </c>
      <c r="F277" t="s">
        <v>273</v>
      </c>
      <c r="G277">
        <v>24</v>
      </c>
      <c r="H277">
        <v>72.959999999999994</v>
      </c>
      <c r="I277" t="s">
        <v>927</v>
      </c>
      <c r="K277" t="b">
        <f>IF(Table1[[#This Row],[dispatch_date]]-Table1[[#This Row],[order_date]] &gt;=0, TRUE, FALSE)</f>
        <v>1</v>
      </c>
    </row>
    <row r="278" spans="1:11" x14ac:dyDescent="0.2">
      <c r="A278" t="s">
        <v>2443</v>
      </c>
      <c r="B278" t="s">
        <v>1037</v>
      </c>
      <c r="C278" s="9">
        <v>45752</v>
      </c>
      <c r="D278" s="9">
        <v>45754</v>
      </c>
      <c r="E278" t="s">
        <v>33</v>
      </c>
      <c r="F278" t="s">
        <v>478</v>
      </c>
      <c r="G278">
        <v>6</v>
      </c>
      <c r="H278">
        <v>13.26</v>
      </c>
      <c r="I278" t="s">
        <v>938</v>
      </c>
      <c r="K278" t="b">
        <f>IF(Table1[[#This Row],[dispatch_date]]-Table1[[#This Row],[order_date]] &gt;=0, TRUE, FALSE)</f>
        <v>1</v>
      </c>
    </row>
    <row r="279" spans="1:11" x14ac:dyDescent="0.2">
      <c r="A279" t="s">
        <v>2561</v>
      </c>
      <c r="B279" t="s">
        <v>918</v>
      </c>
      <c r="C279" s="9">
        <v>45752</v>
      </c>
      <c r="D279" s="9">
        <v>45754</v>
      </c>
      <c r="E279" t="s">
        <v>44</v>
      </c>
      <c r="F279" t="s">
        <v>324</v>
      </c>
      <c r="G279">
        <v>36</v>
      </c>
      <c r="H279">
        <v>217.8</v>
      </c>
      <c r="I279" t="s">
        <v>956</v>
      </c>
      <c r="K279" t="b">
        <f>IF(Table1[[#This Row],[dispatch_date]]-Table1[[#This Row],[order_date]] &gt;=0, TRUE, FALSE)</f>
        <v>1</v>
      </c>
    </row>
    <row r="280" spans="1:11" x14ac:dyDescent="0.2">
      <c r="A280" t="s">
        <v>1527</v>
      </c>
      <c r="B280" t="s">
        <v>985</v>
      </c>
      <c r="C280" s="9">
        <v>45753</v>
      </c>
      <c r="D280" s="9">
        <v>45755</v>
      </c>
      <c r="E280" t="s">
        <v>123</v>
      </c>
      <c r="F280" t="s">
        <v>721</v>
      </c>
      <c r="G280">
        <v>12</v>
      </c>
      <c r="H280">
        <v>79.69</v>
      </c>
      <c r="I280" t="s">
        <v>1079</v>
      </c>
      <c r="K280" t="b">
        <f>IF(Table1[[#This Row],[dispatch_date]]-Table1[[#This Row],[order_date]] &gt;=0, TRUE, FALSE)</f>
        <v>1</v>
      </c>
    </row>
    <row r="281" spans="1:11" x14ac:dyDescent="0.2">
      <c r="A281" t="s">
        <v>1655</v>
      </c>
      <c r="B281" t="s">
        <v>901</v>
      </c>
      <c r="C281" s="9">
        <v>45753</v>
      </c>
      <c r="D281" s="9">
        <v>45755</v>
      </c>
      <c r="E281" t="s">
        <v>58</v>
      </c>
      <c r="F281" t="s">
        <v>486</v>
      </c>
      <c r="G281">
        <v>48</v>
      </c>
      <c r="H281">
        <v>287.27999999999997</v>
      </c>
      <c r="I281" t="s">
        <v>956</v>
      </c>
      <c r="K281" t="b">
        <f>IF(Table1[[#This Row],[dispatch_date]]-Table1[[#This Row],[order_date]] &gt;=0, TRUE, FALSE)</f>
        <v>1</v>
      </c>
    </row>
    <row r="282" spans="1:11" x14ac:dyDescent="0.2">
      <c r="A282" t="s">
        <v>1850</v>
      </c>
      <c r="B282" t="s">
        <v>1029</v>
      </c>
      <c r="C282" s="9">
        <v>45753</v>
      </c>
      <c r="D282" s="9">
        <v>45756</v>
      </c>
      <c r="E282" t="s">
        <v>93</v>
      </c>
      <c r="G282">
        <v>24</v>
      </c>
      <c r="H282">
        <v>66.959999999999994</v>
      </c>
      <c r="I282" t="s">
        <v>938</v>
      </c>
      <c r="K282" t="b">
        <f>IF(Table1[[#This Row],[dispatch_date]]-Table1[[#This Row],[order_date]] &gt;=0, TRUE, FALSE)</f>
        <v>1</v>
      </c>
    </row>
    <row r="283" spans="1:11" x14ac:dyDescent="0.2">
      <c r="A283" t="s">
        <v>2474</v>
      </c>
      <c r="B283" t="s">
        <v>991</v>
      </c>
      <c r="C283" s="9">
        <v>45753</v>
      </c>
      <c r="D283" s="9"/>
      <c r="E283" t="s">
        <v>118</v>
      </c>
      <c r="F283" t="s">
        <v>396</v>
      </c>
      <c r="G283">
        <v>24</v>
      </c>
      <c r="H283">
        <v>299.58999999999997</v>
      </c>
      <c r="I283" t="s">
        <v>916</v>
      </c>
      <c r="K283" t="b">
        <f>IF(Table1[[#This Row],[dispatch_date]]-Table1[[#This Row],[order_date]] &gt;=0, TRUE, FALSE)</f>
        <v>0</v>
      </c>
    </row>
    <row r="284" spans="1:11" x14ac:dyDescent="0.2">
      <c r="A284" t="s">
        <v>2511</v>
      </c>
      <c r="B284" t="s">
        <v>1077</v>
      </c>
      <c r="C284" s="9">
        <v>45753</v>
      </c>
      <c r="D284" s="9">
        <v>45753</v>
      </c>
      <c r="E284" t="s">
        <v>127</v>
      </c>
      <c r="F284" t="s">
        <v>683</v>
      </c>
      <c r="G284">
        <v>36</v>
      </c>
      <c r="H284">
        <v>147.6</v>
      </c>
      <c r="I284" t="s">
        <v>1079</v>
      </c>
      <c r="K284" t="b">
        <f>IF(Table1[[#This Row],[dispatch_date]]-Table1[[#This Row],[order_date]] &gt;=0, TRUE, FALSE)</f>
        <v>1</v>
      </c>
    </row>
    <row r="285" spans="1:11" x14ac:dyDescent="0.2">
      <c r="A285" t="s">
        <v>1726</v>
      </c>
      <c r="B285" t="s">
        <v>952</v>
      </c>
      <c r="C285" s="9">
        <v>45754</v>
      </c>
      <c r="D285" s="9">
        <v>45755</v>
      </c>
      <c r="E285" t="s">
        <v>116</v>
      </c>
      <c r="F285" t="s">
        <v>535</v>
      </c>
      <c r="G285">
        <v>12</v>
      </c>
      <c r="H285">
        <v>58.08</v>
      </c>
      <c r="I285" t="s">
        <v>938</v>
      </c>
      <c r="K285" t="b">
        <f>IF(Table1[[#This Row],[dispatch_date]]-Table1[[#This Row],[order_date]] &gt;=0, TRUE, FALSE)</f>
        <v>1</v>
      </c>
    </row>
    <row r="286" spans="1:11" x14ac:dyDescent="0.2">
      <c r="A286" t="s">
        <v>1755</v>
      </c>
      <c r="B286" t="s">
        <v>1031</v>
      </c>
      <c r="C286" s="9">
        <v>45754</v>
      </c>
      <c r="D286" s="9">
        <v>45756</v>
      </c>
      <c r="E286" t="s">
        <v>80</v>
      </c>
      <c r="F286" t="s">
        <v>352</v>
      </c>
      <c r="G286">
        <v>24</v>
      </c>
      <c r="H286">
        <v>142.80000000000001</v>
      </c>
      <c r="I286" t="s">
        <v>956</v>
      </c>
      <c r="K286" t="b">
        <f>IF(Table1[[#This Row],[dispatch_date]]-Table1[[#This Row],[order_date]] &gt;=0, TRUE, FALSE)</f>
        <v>1</v>
      </c>
    </row>
    <row r="287" spans="1:11" x14ac:dyDescent="0.2">
      <c r="A287" t="s">
        <v>2539</v>
      </c>
      <c r="B287" t="s">
        <v>1013</v>
      </c>
      <c r="C287" s="9">
        <v>45754</v>
      </c>
      <c r="D287" s="9">
        <v>45756</v>
      </c>
      <c r="E287" t="s">
        <v>28</v>
      </c>
      <c r="G287">
        <v>24</v>
      </c>
      <c r="H287">
        <v>130.87</v>
      </c>
      <c r="I287" t="s">
        <v>956</v>
      </c>
      <c r="K287" t="b">
        <f>IF(Table1[[#This Row],[dispatch_date]]-Table1[[#This Row],[order_date]] &gt;=0, TRUE, FALSE)</f>
        <v>1</v>
      </c>
    </row>
    <row r="288" spans="1:11" x14ac:dyDescent="0.2">
      <c r="A288" t="s">
        <v>1399</v>
      </c>
      <c r="B288" t="s">
        <v>991</v>
      </c>
      <c r="C288" s="9">
        <v>45755</v>
      </c>
      <c r="D288" s="9">
        <v>45755</v>
      </c>
      <c r="E288" t="s">
        <v>25</v>
      </c>
      <c r="F288" t="s">
        <v>392</v>
      </c>
      <c r="G288">
        <v>36</v>
      </c>
      <c r="H288">
        <v>199.8</v>
      </c>
      <c r="I288" t="s">
        <v>956</v>
      </c>
      <c r="K288" t="b">
        <f>IF(Table1[[#This Row],[dispatch_date]]-Table1[[#This Row],[order_date]] &gt;=0, TRUE, FALSE)</f>
        <v>1</v>
      </c>
    </row>
    <row r="289" spans="1:11" x14ac:dyDescent="0.2">
      <c r="A289" t="s">
        <v>1842</v>
      </c>
      <c r="B289" t="s">
        <v>932</v>
      </c>
      <c r="C289" s="9">
        <v>45755</v>
      </c>
      <c r="D289" s="9">
        <v>45756</v>
      </c>
      <c r="E289" t="s">
        <v>97</v>
      </c>
      <c r="F289" t="s">
        <v>191</v>
      </c>
      <c r="G289">
        <v>72</v>
      </c>
      <c r="H289">
        <v>387.36</v>
      </c>
      <c r="I289" t="s">
        <v>956</v>
      </c>
      <c r="K289" t="b">
        <f>IF(Table1[[#This Row],[dispatch_date]]-Table1[[#This Row],[order_date]] &gt;=0, TRUE, FALSE)</f>
        <v>1</v>
      </c>
    </row>
    <row r="290" spans="1:11" x14ac:dyDescent="0.2">
      <c r="A290" t="s">
        <v>2327</v>
      </c>
      <c r="B290" t="s">
        <v>958</v>
      </c>
      <c r="C290" s="9">
        <v>45755</v>
      </c>
      <c r="D290" s="9">
        <v>45758</v>
      </c>
      <c r="E290" t="s">
        <v>30</v>
      </c>
      <c r="G290">
        <v>24</v>
      </c>
      <c r="H290">
        <v>57.6</v>
      </c>
      <c r="I290" t="s">
        <v>956</v>
      </c>
      <c r="K290" t="b">
        <f>IF(Table1[[#This Row],[dispatch_date]]-Table1[[#This Row],[order_date]] &gt;=0, TRUE, FALSE)</f>
        <v>1</v>
      </c>
    </row>
    <row r="291" spans="1:11" x14ac:dyDescent="0.2">
      <c r="A291" t="s">
        <v>1155</v>
      </c>
      <c r="B291" t="s">
        <v>951</v>
      </c>
      <c r="C291" s="9">
        <v>45756</v>
      </c>
      <c r="D291" s="9">
        <v>45756</v>
      </c>
      <c r="E291" t="s">
        <v>80</v>
      </c>
      <c r="G291">
        <v>72</v>
      </c>
      <c r="H291">
        <v>428.4</v>
      </c>
      <c r="I291" t="s">
        <v>1079</v>
      </c>
      <c r="K291" t="b">
        <f>IF(Table1[[#This Row],[dispatch_date]]-Table1[[#This Row],[order_date]] &gt;=0, TRUE, FALSE)</f>
        <v>1</v>
      </c>
    </row>
    <row r="292" spans="1:11" x14ac:dyDescent="0.2">
      <c r="A292" t="s">
        <v>1451</v>
      </c>
      <c r="B292" t="s">
        <v>981</v>
      </c>
      <c r="C292" s="9">
        <v>45756</v>
      </c>
      <c r="D292" s="9">
        <v>45756</v>
      </c>
      <c r="E292" t="s">
        <v>112</v>
      </c>
      <c r="G292">
        <v>24</v>
      </c>
      <c r="H292">
        <v>144.24</v>
      </c>
      <c r="I292" t="s">
        <v>916</v>
      </c>
      <c r="K292" t="b">
        <f>IF(Table1[[#This Row],[dispatch_date]]-Table1[[#This Row],[order_date]] &gt;=0, TRUE, FALSE)</f>
        <v>1</v>
      </c>
    </row>
    <row r="293" spans="1:11" x14ac:dyDescent="0.2">
      <c r="A293" t="s">
        <v>1579</v>
      </c>
      <c r="B293" t="s">
        <v>1040</v>
      </c>
      <c r="C293" s="9">
        <v>45756</v>
      </c>
      <c r="D293" s="9">
        <v>45757</v>
      </c>
      <c r="E293" t="s">
        <v>105</v>
      </c>
      <c r="G293">
        <v>12</v>
      </c>
      <c r="H293">
        <v>71.400000000000006</v>
      </c>
      <c r="I293" t="s">
        <v>916</v>
      </c>
      <c r="K293" t="b">
        <f>IF(Table1[[#This Row],[dispatch_date]]-Table1[[#This Row],[order_date]] &gt;=0, TRUE, FALSE)</f>
        <v>1</v>
      </c>
    </row>
    <row r="294" spans="1:11" x14ac:dyDescent="0.2">
      <c r="A294" t="s">
        <v>1812</v>
      </c>
      <c r="B294" t="s">
        <v>1049</v>
      </c>
      <c r="C294" s="9">
        <v>45756</v>
      </c>
      <c r="D294" s="9">
        <v>45758</v>
      </c>
      <c r="E294" t="s">
        <v>110</v>
      </c>
      <c r="G294">
        <v>24</v>
      </c>
      <c r="H294">
        <v>74.56</v>
      </c>
      <c r="I294" t="s">
        <v>938</v>
      </c>
      <c r="K294" t="b">
        <f>IF(Table1[[#This Row],[dispatch_date]]-Table1[[#This Row],[order_date]] &gt;=0, TRUE, FALSE)</f>
        <v>1</v>
      </c>
    </row>
    <row r="295" spans="1:11" x14ac:dyDescent="0.2">
      <c r="A295" t="s">
        <v>2552</v>
      </c>
      <c r="B295" t="s">
        <v>989</v>
      </c>
      <c r="C295" s="9">
        <v>45756</v>
      </c>
      <c r="D295" s="9">
        <v>45759</v>
      </c>
      <c r="E295" t="s">
        <v>86</v>
      </c>
      <c r="F295" t="s">
        <v>723</v>
      </c>
      <c r="G295">
        <v>6</v>
      </c>
      <c r="H295">
        <v>19.14</v>
      </c>
      <c r="I295" t="s">
        <v>916</v>
      </c>
      <c r="K295" t="b">
        <f>IF(Table1[[#This Row],[dispatch_date]]-Table1[[#This Row],[order_date]] &gt;=0, TRUE, FALSE)</f>
        <v>1</v>
      </c>
    </row>
    <row r="296" spans="1:11" x14ac:dyDescent="0.2">
      <c r="A296" t="s">
        <v>1306</v>
      </c>
      <c r="B296" t="s">
        <v>968</v>
      </c>
      <c r="C296" s="9">
        <v>45934</v>
      </c>
      <c r="D296" s="9">
        <v>45934</v>
      </c>
      <c r="E296" t="s">
        <v>99</v>
      </c>
      <c r="F296" t="s">
        <v>862</v>
      </c>
      <c r="G296">
        <v>36</v>
      </c>
      <c r="H296">
        <v>266.04000000000002</v>
      </c>
      <c r="I296" t="s">
        <v>938</v>
      </c>
      <c r="K296" t="b">
        <f>IF(Table1[[#This Row],[dispatch_date]]-Table1[[#This Row],[order_date]] &gt;=0, TRUE, FALSE)</f>
        <v>1</v>
      </c>
    </row>
    <row r="297" spans="1:11" x14ac:dyDescent="0.2">
      <c r="A297" t="s">
        <v>2430</v>
      </c>
      <c r="B297" t="s">
        <v>1024</v>
      </c>
      <c r="C297" s="9">
        <v>45757</v>
      </c>
      <c r="D297" s="9">
        <v>45759</v>
      </c>
      <c r="E297" t="s">
        <v>95</v>
      </c>
      <c r="F297" t="s">
        <v>313</v>
      </c>
      <c r="G297">
        <v>24</v>
      </c>
      <c r="H297">
        <v>94.56</v>
      </c>
      <c r="I297" t="s">
        <v>1079</v>
      </c>
      <c r="K297" t="b">
        <f>IF(Table1[[#This Row],[dispatch_date]]-Table1[[#This Row],[order_date]] &gt;=0, TRUE, FALSE)</f>
        <v>1</v>
      </c>
    </row>
    <row r="298" spans="1:11" x14ac:dyDescent="0.2">
      <c r="A298" t="s">
        <v>1324</v>
      </c>
      <c r="B298" t="s">
        <v>968</v>
      </c>
      <c r="C298" s="9">
        <v>45758</v>
      </c>
      <c r="D298" s="9">
        <v>45760</v>
      </c>
      <c r="E298" t="s">
        <v>28</v>
      </c>
      <c r="F298" t="s">
        <v>329</v>
      </c>
      <c r="G298">
        <v>6</v>
      </c>
      <c r="H298">
        <v>34.44</v>
      </c>
      <c r="I298" t="s">
        <v>956</v>
      </c>
      <c r="K298" t="b">
        <f>IF(Table1[[#This Row],[dispatch_date]]-Table1[[#This Row],[order_date]] &gt;=0, TRUE, FALSE)</f>
        <v>1</v>
      </c>
    </row>
    <row r="299" spans="1:11" x14ac:dyDescent="0.2">
      <c r="A299" t="s">
        <v>1802</v>
      </c>
      <c r="B299" t="s">
        <v>993</v>
      </c>
      <c r="C299" s="9">
        <v>45758</v>
      </c>
      <c r="D299" s="9">
        <v>45760</v>
      </c>
      <c r="E299" t="s">
        <v>19</v>
      </c>
      <c r="G299">
        <v>24</v>
      </c>
      <c r="H299">
        <v>48.72</v>
      </c>
      <c r="I299" t="s">
        <v>938</v>
      </c>
      <c r="K299" t="b">
        <f>IF(Table1[[#This Row],[dispatch_date]]-Table1[[#This Row],[order_date]] &gt;=0, TRUE, FALSE)</f>
        <v>1</v>
      </c>
    </row>
    <row r="300" spans="1:11" x14ac:dyDescent="0.2">
      <c r="A300" t="s">
        <v>1852</v>
      </c>
      <c r="B300" t="s">
        <v>1080</v>
      </c>
      <c r="C300" s="9">
        <v>45758</v>
      </c>
      <c r="D300" s="9">
        <v>45760</v>
      </c>
      <c r="E300" t="s">
        <v>125</v>
      </c>
      <c r="F300" t="s">
        <v>270</v>
      </c>
      <c r="G300">
        <v>36</v>
      </c>
      <c r="H300">
        <v>274.68</v>
      </c>
      <c r="I300" t="s">
        <v>916</v>
      </c>
      <c r="K300" t="b">
        <f>IF(Table1[[#This Row],[dispatch_date]]-Table1[[#This Row],[order_date]] &gt;=0, TRUE, FALSE)</f>
        <v>1</v>
      </c>
    </row>
    <row r="301" spans="1:11" x14ac:dyDescent="0.2">
      <c r="A301" t="s">
        <v>2023</v>
      </c>
      <c r="B301" t="s">
        <v>998</v>
      </c>
      <c r="C301" s="9">
        <v>45758</v>
      </c>
      <c r="D301" s="9">
        <v>45761</v>
      </c>
      <c r="E301" t="s">
        <v>28</v>
      </c>
      <c r="F301" t="s">
        <v>561</v>
      </c>
      <c r="G301">
        <v>24</v>
      </c>
      <c r="H301">
        <v>137.76</v>
      </c>
      <c r="I301" t="s">
        <v>938</v>
      </c>
      <c r="K301" t="b">
        <f>IF(Table1[[#This Row],[dispatch_date]]-Table1[[#This Row],[order_date]] &gt;=0, TRUE, FALSE)</f>
        <v>1</v>
      </c>
    </row>
    <row r="302" spans="1:11" x14ac:dyDescent="0.2">
      <c r="A302" t="s">
        <v>2125</v>
      </c>
      <c r="B302" t="s">
        <v>952</v>
      </c>
      <c r="C302" s="9">
        <v>45758</v>
      </c>
      <c r="D302" s="9">
        <v>45760</v>
      </c>
      <c r="E302" t="s">
        <v>36</v>
      </c>
      <c r="G302">
        <v>48</v>
      </c>
      <c r="H302">
        <v>77.98</v>
      </c>
      <c r="I302" t="s">
        <v>938</v>
      </c>
      <c r="K302" t="b">
        <f>IF(Table1[[#This Row],[dispatch_date]]-Table1[[#This Row],[order_date]] &gt;=0, TRUE, FALSE)</f>
        <v>1</v>
      </c>
    </row>
    <row r="303" spans="1:11" x14ac:dyDescent="0.2">
      <c r="A303" t="s">
        <v>1599</v>
      </c>
      <c r="B303" t="s">
        <v>1069</v>
      </c>
      <c r="C303" s="9">
        <v>45759</v>
      </c>
      <c r="D303" s="9">
        <v>45762</v>
      </c>
      <c r="E303" t="s">
        <v>33</v>
      </c>
      <c r="F303" t="s">
        <v>433</v>
      </c>
      <c r="G303">
        <v>6</v>
      </c>
      <c r="H303">
        <v>13.26</v>
      </c>
      <c r="I303" t="s">
        <v>956</v>
      </c>
      <c r="K303" t="b">
        <f>IF(Table1[[#This Row],[dispatch_date]]-Table1[[#This Row],[order_date]] &gt;=0, TRUE, FALSE)</f>
        <v>1</v>
      </c>
    </row>
    <row r="304" spans="1:11" x14ac:dyDescent="0.2">
      <c r="A304" t="s">
        <v>1924</v>
      </c>
      <c r="B304" t="s">
        <v>1001</v>
      </c>
      <c r="C304" s="9">
        <v>45759</v>
      </c>
      <c r="D304" s="9">
        <v>45761</v>
      </c>
      <c r="E304" t="s">
        <v>105</v>
      </c>
      <c r="F304" t="s">
        <v>276</v>
      </c>
      <c r="G304">
        <v>48</v>
      </c>
      <c r="H304">
        <v>271.32</v>
      </c>
      <c r="I304" t="s">
        <v>916</v>
      </c>
      <c r="K304" t="b">
        <f>IF(Table1[[#This Row],[dispatch_date]]-Table1[[#This Row],[order_date]] &gt;=0, TRUE, FALSE)</f>
        <v>1</v>
      </c>
    </row>
    <row r="305" spans="1:11" x14ac:dyDescent="0.2">
      <c r="A305" t="s">
        <v>2307</v>
      </c>
      <c r="B305" t="s">
        <v>991</v>
      </c>
      <c r="C305" s="9">
        <v>45759</v>
      </c>
      <c r="D305" s="9">
        <v>45760</v>
      </c>
      <c r="E305" t="s">
        <v>95</v>
      </c>
      <c r="F305" t="s">
        <v>294</v>
      </c>
      <c r="G305">
        <v>24</v>
      </c>
      <c r="H305">
        <v>94.56</v>
      </c>
      <c r="I305" t="s">
        <v>956</v>
      </c>
      <c r="K305" t="b">
        <f>IF(Table1[[#This Row],[dispatch_date]]-Table1[[#This Row],[order_date]] &gt;=0, TRUE, FALSE)</f>
        <v>1</v>
      </c>
    </row>
    <row r="306" spans="1:11" x14ac:dyDescent="0.2">
      <c r="A306" t="s">
        <v>2684</v>
      </c>
      <c r="B306" t="s">
        <v>922</v>
      </c>
      <c r="C306" s="9">
        <v>45759</v>
      </c>
      <c r="D306" s="9">
        <v>45760</v>
      </c>
      <c r="E306" t="s">
        <v>80</v>
      </c>
      <c r="F306" t="s">
        <v>352</v>
      </c>
      <c r="G306">
        <v>24</v>
      </c>
      <c r="H306">
        <v>142.80000000000001</v>
      </c>
      <c r="I306" t="s">
        <v>912</v>
      </c>
      <c r="K306" t="b">
        <f>IF(Table1[[#This Row],[dispatch_date]]-Table1[[#This Row],[order_date]] &gt;=0, TRUE, FALSE)</f>
        <v>1</v>
      </c>
    </row>
    <row r="307" spans="1:11" x14ac:dyDescent="0.2">
      <c r="A307" t="s">
        <v>1211</v>
      </c>
      <c r="B307" t="s">
        <v>993</v>
      </c>
      <c r="C307" s="9">
        <v>45760</v>
      </c>
      <c r="D307" s="9">
        <v>45760</v>
      </c>
      <c r="E307" t="s">
        <v>67</v>
      </c>
      <c r="F307" t="s">
        <v>398</v>
      </c>
      <c r="G307">
        <v>6</v>
      </c>
      <c r="H307">
        <v>31.8</v>
      </c>
      <c r="I307" t="s">
        <v>938</v>
      </c>
      <c r="K307" t="b">
        <f>IF(Table1[[#This Row],[dispatch_date]]-Table1[[#This Row],[order_date]] &gt;=0, TRUE, FALSE)</f>
        <v>1</v>
      </c>
    </row>
    <row r="308" spans="1:11" x14ac:dyDescent="0.2">
      <c r="A308" t="s">
        <v>1682</v>
      </c>
      <c r="B308" t="s">
        <v>1024</v>
      </c>
      <c r="C308" s="9">
        <v>45760</v>
      </c>
      <c r="D308" s="9">
        <v>45762</v>
      </c>
      <c r="E308" t="s">
        <v>48</v>
      </c>
      <c r="F308" t="s">
        <v>624</v>
      </c>
      <c r="G308">
        <v>24</v>
      </c>
      <c r="H308">
        <v>161.76</v>
      </c>
      <c r="I308" t="s">
        <v>956</v>
      </c>
      <c r="K308" t="b">
        <f>IF(Table1[[#This Row],[dispatch_date]]-Table1[[#This Row],[order_date]] &gt;=0, TRUE, FALSE)</f>
        <v>1</v>
      </c>
    </row>
    <row r="309" spans="1:11" x14ac:dyDescent="0.2">
      <c r="A309" t="s">
        <v>1745</v>
      </c>
      <c r="B309" t="s">
        <v>1021</v>
      </c>
      <c r="C309" s="9">
        <v>45760</v>
      </c>
      <c r="D309" s="9">
        <v>45763</v>
      </c>
      <c r="E309" t="s">
        <v>67</v>
      </c>
      <c r="F309" t="s">
        <v>857</v>
      </c>
      <c r="G309">
        <v>24</v>
      </c>
      <c r="H309">
        <v>127.2</v>
      </c>
      <c r="I309" t="s">
        <v>916</v>
      </c>
      <c r="K309" t="b">
        <f>IF(Table1[[#This Row],[dispatch_date]]-Table1[[#This Row],[order_date]] &gt;=0, TRUE, FALSE)</f>
        <v>1</v>
      </c>
    </row>
    <row r="310" spans="1:11" x14ac:dyDescent="0.2">
      <c r="A310" t="s">
        <v>1854</v>
      </c>
      <c r="B310" t="s">
        <v>991</v>
      </c>
      <c r="C310" s="9">
        <v>45760</v>
      </c>
      <c r="D310" s="9">
        <v>45762</v>
      </c>
      <c r="E310" t="s">
        <v>101</v>
      </c>
      <c r="F310" t="s">
        <v>573</v>
      </c>
      <c r="G310">
        <v>12</v>
      </c>
      <c r="H310">
        <v>40.32</v>
      </c>
      <c r="I310" t="s">
        <v>956</v>
      </c>
      <c r="K310" t="b">
        <f>IF(Table1[[#This Row],[dispatch_date]]-Table1[[#This Row],[order_date]] &gt;=0, TRUE, FALSE)</f>
        <v>1</v>
      </c>
    </row>
    <row r="311" spans="1:11" x14ac:dyDescent="0.2">
      <c r="A311" t="s">
        <v>2550</v>
      </c>
      <c r="B311" t="s">
        <v>1060</v>
      </c>
      <c r="C311" s="9">
        <v>45760</v>
      </c>
      <c r="D311" s="9">
        <v>45761</v>
      </c>
      <c r="E311" t="s">
        <v>65</v>
      </c>
      <c r="F311" t="s">
        <v>807</v>
      </c>
      <c r="G311">
        <v>48</v>
      </c>
      <c r="H311">
        <v>636.96</v>
      </c>
      <c r="I311" t="s">
        <v>956</v>
      </c>
      <c r="K311" t="b">
        <f>IF(Table1[[#This Row],[dispatch_date]]-Table1[[#This Row],[order_date]] &gt;=0, TRUE, FALSE)</f>
        <v>1</v>
      </c>
    </row>
    <row r="312" spans="1:11" x14ac:dyDescent="0.2">
      <c r="A312" t="s">
        <v>2857</v>
      </c>
      <c r="B312" t="s">
        <v>1067</v>
      </c>
      <c r="C312" s="9">
        <v>45760</v>
      </c>
      <c r="D312" s="9">
        <v>45763</v>
      </c>
      <c r="E312" t="s">
        <v>88</v>
      </c>
      <c r="G312">
        <v>48</v>
      </c>
      <c r="H312">
        <v>198.24</v>
      </c>
      <c r="I312" t="s">
        <v>1079</v>
      </c>
      <c r="K312" t="b">
        <f>IF(Table1[[#This Row],[dispatch_date]]-Table1[[#This Row],[order_date]] &gt;=0, TRUE, FALSE)</f>
        <v>1</v>
      </c>
    </row>
    <row r="313" spans="1:11" x14ac:dyDescent="0.2">
      <c r="A313" t="s">
        <v>1824</v>
      </c>
      <c r="B313" t="s">
        <v>939</v>
      </c>
      <c r="C313" s="9">
        <v>45761</v>
      </c>
      <c r="D313" s="9">
        <v>45761</v>
      </c>
      <c r="E313" t="s">
        <v>28</v>
      </c>
      <c r="F313" t="s">
        <v>514</v>
      </c>
      <c r="G313">
        <v>12</v>
      </c>
      <c r="H313">
        <v>65.44</v>
      </c>
      <c r="I313" t="s">
        <v>916</v>
      </c>
      <c r="K313" t="b">
        <f>IF(Table1[[#This Row],[dispatch_date]]-Table1[[#This Row],[order_date]] &gt;=0, TRUE, FALSE)</f>
        <v>1</v>
      </c>
    </row>
    <row r="314" spans="1:11" x14ac:dyDescent="0.2">
      <c r="A314" t="s">
        <v>2287</v>
      </c>
      <c r="B314" t="s">
        <v>1080</v>
      </c>
      <c r="C314" s="9">
        <v>45761</v>
      </c>
      <c r="D314" s="9">
        <v>45764</v>
      </c>
      <c r="E314" t="s">
        <v>58</v>
      </c>
      <c r="F314" t="s">
        <v>505</v>
      </c>
      <c r="G314">
        <v>24</v>
      </c>
      <c r="H314">
        <v>151.19999999999999</v>
      </c>
      <c r="I314" t="s">
        <v>916</v>
      </c>
      <c r="K314" t="b">
        <f>IF(Table1[[#This Row],[dispatch_date]]-Table1[[#This Row],[order_date]] &gt;=0, TRUE, FALSE)</f>
        <v>1</v>
      </c>
    </row>
    <row r="315" spans="1:11" x14ac:dyDescent="0.2">
      <c r="A315" t="s">
        <v>2575</v>
      </c>
      <c r="B315" t="s">
        <v>922</v>
      </c>
      <c r="C315" s="9">
        <v>45761</v>
      </c>
      <c r="D315" s="9">
        <v>45763</v>
      </c>
      <c r="E315" t="s">
        <v>112</v>
      </c>
      <c r="F315" t="s">
        <v>184</v>
      </c>
      <c r="G315">
        <v>72</v>
      </c>
      <c r="H315">
        <v>432.72</v>
      </c>
      <c r="I315" t="s">
        <v>912</v>
      </c>
      <c r="K315" t="b">
        <f>IF(Table1[[#This Row],[dispatch_date]]-Table1[[#This Row],[order_date]] &gt;=0, TRUE, FALSE)</f>
        <v>1</v>
      </c>
    </row>
    <row r="316" spans="1:11" x14ac:dyDescent="0.2">
      <c r="A316" t="s">
        <v>1209</v>
      </c>
      <c r="B316" t="s">
        <v>1076</v>
      </c>
      <c r="C316" s="9">
        <v>45762</v>
      </c>
      <c r="D316" s="9">
        <v>45764</v>
      </c>
      <c r="E316" t="s">
        <v>88</v>
      </c>
      <c r="F316" t="s">
        <v>430</v>
      </c>
      <c r="G316">
        <v>24</v>
      </c>
      <c r="H316">
        <v>99.12</v>
      </c>
      <c r="I316" t="s">
        <v>927</v>
      </c>
      <c r="K316" t="b">
        <f>IF(Table1[[#This Row],[dispatch_date]]-Table1[[#This Row],[order_date]] &gt;=0, TRUE, FALSE)</f>
        <v>1</v>
      </c>
    </row>
    <row r="317" spans="1:11" x14ac:dyDescent="0.2">
      <c r="A317" t="s">
        <v>1381</v>
      </c>
      <c r="B317" t="s">
        <v>1016</v>
      </c>
      <c r="C317" s="9">
        <v>45762</v>
      </c>
      <c r="D317" s="9">
        <v>45764</v>
      </c>
      <c r="E317" t="s">
        <v>69</v>
      </c>
      <c r="F317" t="s">
        <v>846</v>
      </c>
      <c r="G317">
        <v>48</v>
      </c>
      <c r="H317">
        <v>256.32</v>
      </c>
      <c r="I317" t="s">
        <v>912</v>
      </c>
      <c r="K317" t="b">
        <f>IF(Table1[[#This Row],[dispatch_date]]-Table1[[#This Row],[order_date]] &gt;=0, TRUE, FALSE)</f>
        <v>1</v>
      </c>
    </row>
    <row r="318" spans="1:11" x14ac:dyDescent="0.2">
      <c r="A318" t="s">
        <v>1900</v>
      </c>
      <c r="B318" t="s">
        <v>936</v>
      </c>
      <c r="C318" s="9">
        <v>45762</v>
      </c>
      <c r="D318" s="9">
        <v>45765</v>
      </c>
      <c r="E318" t="s">
        <v>121</v>
      </c>
      <c r="G318">
        <v>72</v>
      </c>
      <c r="H318">
        <v>924.48</v>
      </c>
      <c r="I318" t="s">
        <v>938</v>
      </c>
      <c r="K318" t="b">
        <f>IF(Table1[[#This Row],[dispatch_date]]-Table1[[#This Row],[order_date]] &gt;=0, TRUE, FALSE)</f>
        <v>1</v>
      </c>
    </row>
    <row r="319" spans="1:11" x14ac:dyDescent="0.2">
      <c r="A319" t="s">
        <v>2782</v>
      </c>
      <c r="B319" t="s">
        <v>991</v>
      </c>
      <c r="C319" s="9">
        <v>45762</v>
      </c>
      <c r="D319" s="9">
        <v>45764</v>
      </c>
      <c r="E319" t="s">
        <v>42</v>
      </c>
      <c r="F319" t="s">
        <v>695</v>
      </c>
      <c r="G319">
        <v>48</v>
      </c>
      <c r="H319">
        <v>156.96</v>
      </c>
      <c r="I319" t="s">
        <v>956</v>
      </c>
      <c r="K319" t="b">
        <f>IF(Table1[[#This Row],[dispatch_date]]-Table1[[#This Row],[order_date]] &gt;=0, TRUE, FALSE)</f>
        <v>1</v>
      </c>
    </row>
    <row r="320" spans="1:11" x14ac:dyDescent="0.2">
      <c r="A320" t="s">
        <v>1171</v>
      </c>
      <c r="B320" t="s">
        <v>1011</v>
      </c>
      <c r="C320" s="9">
        <v>45763</v>
      </c>
      <c r="D320" s="9">
        <v>45763</v>
      </c>
      <c r="E320" t="s">
        <v>110</v>
      </c>
      <c r="F320" t="s">
        <v>380</v>
      </c>
      <c r="G320">
        <v>72</v>
      </c>
      <c r="H320">
        <v>235.44</v>
      </c>
      <c r="I320" t="s">
        <v>916</v>
      </c>
      <c r="K320" t="b">
        <f>IF(Table1[[#This Row],[dispatch_date]]-Table1[[#This Row],[order_date]] &gt;=0, TRUE, FALSE)</f>
        <v>1</v>
      </c>
    </row>
    <row r="321" spans="1:11" x14ac:dyDescent="0.2">
      <c r="A321" t="s">
        <v>1244</v>
      </c>
      <c r="B321" t="s">
        <v>1052</v>
      </c>
      <c r="C321" s="9">
        <v>45763</v>
      </c>
      <c r="D321" s="9">
        <v>45765</v>
      </c>
      <c r="E321" t="s">
        <v>50</v>
      </c>
      <c r="F321" t="s">
        <v>195</v>
      </c>
      <c r="G321">
        <v>24</v>
      </c>
      <c r="H321">
        <v>139.08000000000001</v>
      </c>
      <c r="I321" t="s">
        <v>956</v>
      </c>
      <c r="K321" t="b">
        <f>IF(Table1[[#This Row],[dispatch_date]]-Table1[[#This Row],[order_date]] &gt;=0, TRUE, FALSE)</f>
        <v>1</v>
      </c>
    </row>
    <row r="322" spans="1:11" x14ac:dyDescent="0.2">
      <c r="A322" t="s">
        <v>1358</v>
      </c>
      <c r="B322" t="s">
        <v>929</v>
      </c>
      <c r="C322" s="9">
        <v>45763</v>
      </c>
      <c r="D322" s="9">
        <v>45765</v>
      </c>
      <c r="E322" t="s">
        <v>38</v>
      </c>
      <c r="F322" t="s">
        <v>889</v>
      </c>
      <c r="G322">
        <v>36</v>
      </c>
      <c r="H322">
        <v>183.6</v>
      </c>
      <c r="I322" t="s">
        <v>912</v>
      </c>
      <c r="K322" t="b">
        <f>IF(Table1[[#This Row],[dispatch_date]]-Table1[[#This Row],[order_date]] &gt;=0, TRUE, FALSE)</f>
        <v>1</v>
      </c>
    </row>
    <row r="323" spans="1:11" x14ac:dyDescent="0.2">
      <c r="A323" t="s">
        <v>1195</v>
      </c>
      <c r="B323" t="s">
        <v>1056</v>
      </c>
      <c r="C323" s="9">
        <v>45764</v>
      </c>
      <c r="D323" s="9">
        <v>45764</v>
      </c>
      <c r="E323" t="s">
        <v>101</v>
      </c>
      <c r="F323" t="s">
        <v>773</v>
      </c>
      <c r="G323">
        <v>24</v>
      </c>
      <c r="H323">
        <v>80.64</v>
      </c>
      <c r="I323" t="s">
        <v>912</v>
      </c>
      <c r="K323" t="b">
        <f>IF(Table1[[#This Row],[dispatch_date]]-Table1[[#This Row],[order_date]] &gt;=0, TRUE, FALSE)</f>
        <v>1</v>
      </c>
    </row>
    <row r="324" spans="1:11" x14ac:dyDescent="0.2">
      <c r="A324" t="s">
        <v>2868</v>
      </c>
      <c r="B324" t="s">
        <v>932</v>
      </c>
      <c r="C324" s="9">
        <v>45764</v>
      </c>
      <c r="D324" s="9">
        <v>45764</v>
      </c>
      <c r="E324" t="s">
        <v>82</v>
      </c>
      <c r="G324">
        <v>24</v>
      </c>
      <c r="H324">
        <v>47.28</v>
      </c>
      <c r="I324" t="s">
        <v>956</v>
      </c>
      <c r="K324" t="b">
        <f>IF(Table1[[#This Row],[dispatch_date]]-Table1[[#This Row],[order_date]] &gt;=0, TRUE, FALSE)</f>
        <v>1</v>
      </c>
    </row>
    <row r="325" spans="1:11" x14ac:dyDescent="0.2">
      <c r="A325" t="s">
        <v>1101</v>
      </c>
      <c r="B325" t="s">
        <v>952</v>
      </c>
      <c r="C325" s="9">
        <v>45765</v>
      </c>
      <c r="D325" s="9">
        <v>45766</v>
      </c>
      <c r="E325" t="s">
        <v>30</v>
      </c>
      <c r="F325" t="s">
        <v>613</v>
      </c>
      <c r="G325">
        <v>24</v>
      </c>
      <c r="H325">
        <v>54.72</v>
      </c>
      <c r="I325" t="s">
        <v>938</v>
      </c>
      <c r="K325" t="b">
        <f>IF(Table1[[#This Row],[dispatch_date]]-Table1[[#This Row],[order_date]] &gt;=0, TRUE, FALSE)</f>
        <v>1</v>
      </c>
    </row>
    <row r="326" spans="1:11" x14ac:dyDescent="0.2">
      <c r="A326" t="s">
        <v>2252</v>
      </c>
      <c r="B326" t="s">
        <v>991</v>
      </c>
      <c r="C326" s="9">
        <v>45765</v>
      </c>
      <c r="D326" s="9">
        <v>45767</v>
      </c>
      <c r="E326" t="s">
        <v>82</v>
      </c>
      <c r="F326" t="s">
        <v>729</v>
      </c>
      <c r="G326">
        <v>72</v>
      </c>
      <c r="H326">
        <v>141.84</v>
      </c>
      <c r="I326" t="s">
        <v>1079</v>
      </c>
      <c r="K326" t="b">
        <f>IF(Table1[[#This Row],[dispatch_date]]-Table1[[#This Row],[order_date]] &gt;=0, TRUE, FALSE)</f>
        <v>1</v>
      </c>
    </row>
    <row r="327" spans="1:11" x14ac:dyDescent="0.2">
      <c r="A327" t="s">
        <v>2789</v>
      </c>
      <c r="B327" t="s">
        <v>1067</v>
      </c>
      <c r="C327" s="9">
        <v>45765</v>
      </c>
      <c r="D327" s="9">
        <v>45765</v>
      </c>
      <c r="E327" t="s">
        <v>54</v>
      </c>
      <c r="F327" t="s">
        <v>449</v>
      </c>
      <c r="G327">
        <v>6</v>
      </c>
      <c r="H327">
        <v>26.58</v>
      </c>
      <c r="I327" t="s">
        <v>956</v>
      </c>
      <c r="K327" t="b">
        <f>IF(Table1[[#This Row],[dispatch_date]]-Table1[[#This Row],[order_date]] &gt;=0, TRUE, FALSE)</f>
        <v>1</v>
      </c>
    </row>
    <row r="328" spans="1:11" x14ac:dyDescent="0.2">
      <c r="A328" t="s">
        <v>1396</v>
      </c>
      <c r="B328" t="s">
        <v>985</v>
      </c>
      <c r="C328" s="9">
        <v>45766</v>
      </c>
      <c r="D328" s="9">
        <v>45767</v>
      </c>
      <c r="E328" t="s">
        <v>93</v>
      </c>
      <c r="F328" t="s">
        <v>414</v>
      </c>
      <c r="G328">
        <v>24</v>
      </c>
      <c r="H328">
        <v>66.959999999999994</v>
      </c>
      <c r="I328" t="s">
        <v>1079</v>
      </c>
      <c r="K328" t="b">
        <f>IF(Table1[[#This Row],[dispatch_date]]-Table1[[#This Row],[order_date]] &gt;=0, TRUE, FALSE)</f>
        <v>1</v>
      </c>
    </row>
    <row r="329" spans="1:11" x14ac:dyDescent="0.2">
      <c r="A329" t="s">
        <v>1410</v>
      </c>
      <c r="B329" t="s">
        <v>991</v>
      </c>
      <c r="C329" s="9">
        <v>45766</v>
      </c>
      <c r="D329" s="9">
        <v>45769</v>
      </c>
      <c r="E329" t="s">
        <v>58</v>
      </c>
      <c r="F329" t="s">
        <v>486</v>
      </c>
      <c r="G329">
        <v>6</v>
      </c>
      <c r="H329">
        <v>37.799999999999997</v>
      </c>
      <c r="I329" t="s">
        <v>916</v>
      </c>
      <c r="K329" t="b">
        <f>IF(Table1[[#This Row],[dispatch_date]]-Table1[[#This Row],[order_date]] &gt;=0, TRUE, FALSE)</f>
        <v>1</v>
      </c>
    </row>
    <row r="330" spans="1:11" x14ac:dyDescent="0.2">
      <c r="A330" t="s">
        <v>2096</v>
      </c>
      <c r="B330" t="s">
        <v>973</v>
      </c>
      <c r="C330" s="9">
        <v>45766</v>
      </c>
      <c r="D330" s="9">
        <v>45767</v>
      </c>
      <c r="E330" t="s">
        <v>99</v>
      </c>
      <c r="F330" t="s">
        <v>703</v>
      </c>
      <c r="G330">
        <v>36</v>
      </c>
      <c r="H330">
        <v>252.74</v>
      </c>
      <c r="I330" t="s">
        <v>1079</v>
      </c>
      <c r="K330" t="b">
        <f>IF(Table1[[#This Row],[dispatch_date]]-Table1[[#This Row],[order_date]] &gt;=0, TRUE, FALSE)</f>
        <v>1</v>
      </c>
    </row>
    <row r="331" spans="1:11" x14ac:dyDescent="0.2">
      <c r="A331" t="s">
        <v>2236</v>
      </c>
      <c r="B331" t="s">
        <v>1067</v>
      </c>
      <c r="C331" s="9">
        <v>45766</v>
      </c>
      <c r="D331" s="9">
        <v>45769</v>
      </c>
      <c r="E331" t="s">
        <v>71</v>
      </c>
      <c r="F331" t="s">
        <v>516</v>
      </c>
      <c r="G331">
        <v>24</v>
      </c>
      <c r="H331">
        <v>228.24</v>
      </c>
      <c r="I331" t="s">
        <v>956</v>
      </c>
      <c r="K331" t="b">
        <f>IF(Table1[[#This Row],[dispatch_date]]-Table1[[#This Row],[order_date]] &gt;=0, TRUE, FALSE)</f>
        <v>1</v>
      </c>
    </row>
    <row r="332" spans="1:11" x14ac:dyDescent="0.2">
      <c r="A332" t="s">
        <v>1116</v>
      </c>
      <c r="B332" t="s">
        <v>1067</v>
      </c>
      <c r="C332" s="9">
        <v>45767</v>
      </c>
      <c r="D332" s="9">
        <v>45769</v>
      </c>
      <c r="E332" t="s">
        <v>118</v>
      </c>
      <c r="F332" t="s">
        <v>288</v>
      </c>
      <c r="G332">
        <v>24</v>
      </c>
      <c r="H332">
        <v>315.36</v>
      </c>
      <c r="I332" t="s">
        <v>956</v>
      </c>
      <c r="K332" t="b">
        <f>IF(Table1[[#This Row],[dispatch_date]]-Table1[[#This Row],[order_date]] &gt;=0, TRUE, FALSE)</f>
        <v>1</v>
      </c>
    </row>
    <row r="333" spans="1:11" x14ac:dyDescent="0.2">
      <c r="A333" t="s">
        <v>1242</v>
      </c>
      <c r="B333" t="s">
        <v>1001</v>
      </c>
      <c r="C333" s="9">
        <v>45767</v>
      </c>
      <c r="D333" s="9">
        <v>45768</v>
      </c>
      <c r="E333" t="s">
        <v>82</v>
      </c>
      <c r="F333" t="s">
        <v>818</v>
      </c>
      <c r="G333">
        <v>48</v>
      </c>
      <c r="H333">
        <v>94.56</v>
      </c>
      <c r="I333" t="s">
        <v>938</v>
      </c>
      <c r="K333" t="b">
        <f>IF(Table1[[#This Row],[dispatch_date]]-Table1[[#This Row],[order_date]] &gt;=0, TRUE, FALSE)</f>
        <v>1</v>
      </c>
    </row>
    <row r="334" spans="1:11" x14ac:dyDescent="0.2">
      <c r="A334" t="s">
        <v>1954</v>
      </c>
      <c r="B334" t="s">
        <v>1011</v>
      </c>
      <c r="C334" s="9">
        <v>45767</v>
      </c>
      <c r="D334" s="9">
        <v>45769</v>
      </c>
      <c r="E334" t="s">
        <v>74</v>
      </c>
      <c r="F334" t="s">
        <v>450</v>
      </c>
      <c r="G334">
        <v>24</v>
      </c>
      <c r="H334">
        <v>51.6</v>
      </c>
      <c r="I334" t="s">
        <v>916</v>
      </c>
      <c r="K334" t="b">
        <f>IF(Table1[[#This Row],[dispatch_date]]-Table1[[#This Row],[order_date]] &gt;=0, TRUE, FALSE)</f>
        <v>1</v>
      </c>
    </row>
    <row r="335" spans="1:11" x14ac:dyDescent="0.2">
      <c r="A335" t="s">
        <v>2074</v>
      </c>
      <c r="B335" t="s">
        <v>1045</v>
      </c>
      <c r="C335" s="9">
        <v>45767</v>
      </c>
      <c r="D335" s="9">
        <v>45768</v>
      </c>
      <c r="E335" t="s">
        <v>30</v>
      </c>
      <c r="F335" t="s">
        <v>697</v>
      </c>
      <c r="G335">
        <v>24</v>
      </c>
      <c r="H335">
        <v>57.6</v>
      </c>
      <c r="I335" t="s">
        <v>912</v>
      </c>
      <c r="K335" t="b">
        <f>IF(Table1[[#This Row],[dispatch_date]]-Table1[[#This Row],[order_date]] &gt;=0, TRUE, FALSE)</f>
        <v>1</v>
      </c>
    </row>
    <row r="336" spans="1:11" x14ac:dyDescent="0.2">
      <c r="A336" t="s">
        <v>2403</v>
      </c>
      <c r="B336" t="s">
        <v>1001</v>
      </c>
      <c r="C336" s="9">
        <v>45767</v>
      </c>
      <c r="D336" s="9">
        <v>45767</v>
      </c>
      <c r="E336" t="s">
        <v>84</v>
      </c>
      <c r="G336">
        <v>24</v>
      </c>
      <c r="H336">
        <v>50.84</v>
      </c>
      <c r="I336" t="s">
        <v>916</v>
      </c>
      <c r="K336" t="b">
        <f>IF(Table1[[#This Row],[dispatch_date]]-Table1[[#This Row],[order_date]] &gt;=0, TRUE, FALSE)</f>
        <v>1</v>
      </c>
    </row>
    <row r="337" spans="1:11" x14ac:dyDescent="0.2">
      <c r="A337" t="s">
        <v>1206</v>
      </c>
      <c r="B337" t="s">
        <v>1042</v>
      </c>
      <c r="C337" s="9">
        <v>45768</v>
      </c>
      <c r="D337" s="9">
        <v>45768</v>
      </c>
      <c r="E337" t="s">
        <v>50</v>
      </c>
      <c r="F337" t="s">
        <v>379</v>
      </c>
      <c r="G337">
        <v>72</v>
      </c>
      <c r="H337">
        <v>439.2</v>
      </c>
      <c r="I337" t="s">
        <v>1079</v>
      </c>
      <c r="K337" t="b">
        <f>IF(Table1[[#This Row],[dispatch_date]]-Table1[[#This Row],[order_date]] &gt;=0, TRUE, FALSE)</f>
        <v>1</v>
      </c>
    </row>
    <row r="338" spans="1:11" x14ac:dyDescent="0.2">
      <c r="A338" t="s">
        <v>1914</v>
      </c>
      <c r="B338" t="s">
        <v>1056</v>
      </c>
      <c r="C338" s="9">
        <v>45768</v>
      </c>
      <c r="D338" s="9">
        <v>45770</v>
      </c>
      <c r="E338" t="s">
        <v>114</v>
      </c>
      <c r="F338" t="s">
        <v>706</v>
      </c>
      <c r="G338">
        <v>12</v>
      </c>
      <c r="H338">
        <v>56.43</v>
      </c>
      <c r="I338" t="s">
        <v>912</v>
      </c>
      <c r="K338" t="b">
        <f>IF(Table1[[#This Row],[dispatch_date]]-Table1[[#This Row],[order_date]] &gt;=0, TRUE, FALSE)</f>
        <v>1</v>
      </c>
    </row>
    <row r="339" spans="1:11" x14ac:dyDescent="0.2">
      <c r="A339" t="s">
        <v>2246</v>
      </c>
      <c r="B339" t="s">
        <v>1031</v>
      </c>
      <c r="C339" s="9">
        <v>45768</v>
      </c>
      <c r="D339" s="9">
        <v>45770</v>
      </c>
      <c r="E339" t="s">
        <v>129</v>
      </c>
      <c r="F339" t="s">
        <v>749</v>
      </c>
      <c r="G339">
        <v>48</v>
      </c>
      <c r="H339">
        <v>216.6</v>
      </c>
      <c r="I339" t="s">
        <v>956</v>
      </c>
      <c r="K339" t="b">
        <f>IF(Table1[[#This Row],[dispatch_date]]-Table1[[#This Row],[order_date]] &gt;=0, TRUE, FALSE)</f>
        <v>1</v>
      </c>
    </row>
    <row r="340" spans="1:11" x14ac:dyDescent="0.2">
      <c r="A340" t="s">
        <v>1186</v>
      </c>
      <c r="B340" t="s">
        <v>1009</v>
      </c>
      <c r="C340" s="9">
        <v>45769</v>
      </c>
      <c r="D340" s="9">
        <v>45770</v>
      </c>
      <c r="E340" t="s">
        <v>52</v>
      </c>
      <c r="F340" t="s">
        <v>714</v>
      </c>
      <c r="G340">
        <v>24</v>
      </c>
      <c r="H340">
        <v>118.32</v>
      </c>
      <c r="I340" t="s">
        <v>956</v>
      </c>
      <c r="K340" t="b">
        <f>IF(Table1[[#This Row],[dispatch_date]]-Table1[[#This Row],[order_date]] &gt;=0, TRUE, FALSE)</f>
        <v>1</v>
      </c>
    </row>
    <row r="341" spans="1:11" x14ac:dyDescent="0.2">
      <c r="A341" t="s">
        <v>1333</v>
      </c>
      <c r="B341" t="s">
        <v>1064</v>
      </c>
      <c r="C341" s="9">
        <v>45769</v>
      </c>
      <c r="D341" s="9">
        <v>45771</v>
      </c>
      <c r="E341" t="s">
        <v>95</v>
      </c>
      <c r="F341" t="s">
        <v>601</v>
      </c>
      <c r="G341">
        <v>72</v>
      </c>
      <c r="H341">
        <v>283.68</v>
      </c>
      <c r="I341" t="s">
        <v>1079</v>
      </c>
      <c r="K341" t="b">
        <f>IF(Table1[[#This Row],[dispatch_date]]-Table1[[#This Row],[order_date]] &gt;=0, TRUE, FALSE)</f>
        <v>1</v>
      </c>
    </row>
    <row r="342" spans="1:11" x14ac:dyDescent="0.2">
      <c r="A342" t="s">
        <v>1569</v>
      </c>
      <c r="B342" t="s">
        <v>998</v>
      </c>
      <c r="C342" s="9">
        <v>45769</v>
      </c>
      <c r="D342" s="9">
        <v>45770</v>
      </c>
      <c r="E342" t="s">
        <v>123</v>
      </c>
      <c r="F342" t="s">
        <v>855</v>
      </c>
      <c r="G342">
        <v>24</v>
      </c>
      <c r="H342">
        <v>167.76</v>
      </c>
      <c r="I342" t="s">
        <v>938</v>
      </c>
      <c r="K342" t="b">
        <f>IF(Table1[[#This Row],[dispatch_date]]-Table1[[#This Row],[order_date]] &gt;=0, TRUE, FALSE)</f>
        <v>1</v>
      </c>
    </row>
    <row r="343" spans="1:11" x14ac:dyDescent="0.2">
      <c r="A343" t="s">
        <v>2198</v>
      </c>
      <c r="B343" t="s">
        <v>951</v>
      </c>
      <c r="C343" s="9">
        <v>45769</v>
      </c>
      <c r="D343" s="9">
        <v>45772</v>
      </c>
      <c r="E343" t="s">
        <v>99</v>
      </c>
      <c r="G343">
        <v>72</v>
      </c>
      <c r="H343">
        <v>505.48</v>
      </c>
      <c r="I343" t="s">
        <v>956</v>
      </c>
      <c r="K343" t="b">
        <f>IF(Table1[[#This Row],[dispatch_date]]-Table1[[#This Row],[order_date]] &gt;=0, TRUE, FALSE)</f>
        <v>1</v>
      </c>
    </row>
    <row r="344" spans="1:11" x14ac:dyDescent="0.2">
      <c r="A344" t="s">
        <v>2368</v>
      </c>
      <c r="B344" t="s">
        <v>906</v>
      </c>
      <c r="C344" s="9">
        <v>45769</v>
      </c>
      <c r="D344" s="9">
        <v>45770</v>
      </c>
      <c r="E344" t="s">
        <v>40</v>
      </c>
      <c r="F344" t="s">
        <v>549</v>
      </c>
      <c r="G344">
        <v>72</v>
      </c>
      <c r="H344">
        <v>280.08</v>
      </c>
      <c r="I344" t="s">
        <v>916</v>
      </c>
      <c r="K344" t="b">
        <f>IF(Table1[[#This Row],[dispatch_date]]-Table1[[#This Row],[order_date]] &gt;=0, TRUE, FALSE)</f>
        <v>1</v>
      </c>
    </row>
    <row r="345" spans="1:11" x14ac:dyDescent="0.2">
      <c r="A345" t="s">
        <v>2407</v>
      </c>
      <c r="B345" t="s">
        <v>910</v>
      </c>
      <c r="C345" s="9">
        <v>45769</v>
      </c>
      <c r="D345" s="9">
        <v>45770</v>
      </c>
      <c r="E345" t="s">
        <v>103</v>
      </c>
      <c r="F345" t="s">
        <v>776</v>
      </c>
      <c r="G345">
        <v>12</v>
      </c>
      <c r="H345">
        <v>86.52</v>
      </c>
      <c r="I345" t="s">
        <v>912</v>
      </c>
      <c r="K345" t="b">
        <f>IF(Table1[[#This Row],[dispatch_date]]-Table1[[#This Row],[order_date]] &gt;=0, TRUE, FALSE)</f>
        <v>1</v>
      </c>
    </row>
    <row r="346" spans="1:11" x14ac:dyDescent="0.2">
      <c r="A346" t="s">
        <v>2490</v>
      </c>
      <c r="B346" t="s">
        <v>987</v>
      </c>
      <c r="C346" s="9">
        <v>45769</v>
      </c>
      <c r="D346" s="9">
        <v>45771</v>
      </c>
      <c r="E346" t="s">
        <v>17</v>
      </c>
      <c r="G346">
        <v>36</v>
      </c>
      <c r="H346">
        <v>204.86</v>
      </c>
      <c r="I346" t="s">
        <v>1079</v>
      </c>
      <c r="K346" t="b">
        <f>IF(Table1[[#This Row],[dispatch_date]]-Table1[[#This Row],[order_date]] &gt;=0, TRUE, FALSE)</f>
        <v>1</v>
      </c>
    </row>
    <row r="347" spans="1:11" x14ac:dyDescent="0.2">
      <c r="A347" t="s">
        <v>1245</v>
      </c>
      <c r="B347" t="s">
        <v>993</v>
      </c>
      <c r="C347" s="9">
        <v>45770</v>
      </c>
      <c r="D347" s="9">
        <v>45770</v>
      </c>
      <c r="E347" t="s">
        <v>71</v>
      </c>
      <c r="F347" t="s">
        <v>516</v>
      </c>
      <c r="G347">
        <v>6</v>
      </c>
      <c r="H347">
        <v>54.21</v>
      </c>
      <c r="I347" t="s">
        <v>938</v>
      </c>
      <c r="K347" t="b">
        <f>IF(Table1[[#This Row],[dispatch_date]]-Table1[[#This Row],[order_date]] &gt;=0, TRUE, FALSE)</f>
        <v>1</v>
      </c>
    </row>
    <row r="348" spans="1:11" x14ac:dyDescent="0.2">
      <c r="A348" t="s">
        <v>1302</v>
      </c>
      <c r="B348" t="s">
        <v>979</v>
      </c>
      <c r="C348" s="9">
        <v>45770</v>
      </c>
      <c r="D348" s="9">
        <v>45770</v>
      </c>
      <c r="E348" t="s">
        <v>50</v>
      </c>
      <c r="F348" t="s">
        <v>195</v>
      </c>
      <c r="G348">
        <v>24</v>
      </c>
      <c r="H348">
        <v>146.4</v>
      </c>
      <c r="I348" t="s">
        <v>927</v>
      </c>
      <c r="K348" t="b">
        <f>IF(Table1[[#This Row],[dispatch_date]]-Table1[[#This Row],[order_date]] &gt;=0, TRUE, FALSE)</f>
        <v>1</v>
      </c>
    </row>
    <row r="349" spans="1:11" x14ac:dyDescent="0.2">
      <c r="A349" t="s">
        <v>2070</v>
      </c>
      <c r="B349" t="s">
        <v>929</v>
      </c>
      <c r="C349" s="9">
        <v>45770</v>
      </c>
      <c r="D349" s="9">
        <v>45770</v>
      </c>
      <c r="E349" t="s">
        <v>97</v>
      </c>
      <c r="F349" t="s">
        <v>191</v>
      </c>
      <c r="G349">
        <v>36</v>
      </c>
      <c r="H349">
        <v>193.68</v>
      </c>
      <c r="I349" t="s">
        <v>927</v>
      </c>
      <c r="K349" t="b">
        <f>IF(Table1[[#This Row],[dispatch_date]]-Table1[[#This Row],[order_date]] &gt;=0, TRUE, FALSE)</f>
        <v>1</v>
      </c>
    </row>
    <row r="350" spans="1:11" x14ac:dyDescent="0.2">
      <c r="A350" t="s">
        <v>2098</v>
      </c>
      <c r="B350" t="s">
        <v>951</v>
      </c>
      <c r="C350" s="9">
        <v>45770</v>
      </c>
      <c r="D350" s="9">
        <v>45772</v>
      </c>
      <c r="E350" t="s">
        <v>82</v>
      </c>
      <c r="F350" t="s">
        <v>403</v>
      </c>
      <c r="G350">
        <v>72</v>
      </c>
      <c r="H350">
        <v>141.84</v>
      </c>
      <c r="I350" t="s">
        <v>938</v>
      </c>
      <c r="K350" t="b">
        <f>IF(Table1[[#This Row],[dispatch_date]]-Table1[[#This Row],[order_date]] &gt;=0, TRUE, FALSE)</f>
        <v>1</v>
      </c>
    </row>
    <row r="351" spans="1:11" x14ac:dyDescent="0.2">
      <c r="A351" t="s">
        <v>2292</v>
      </c>
      <c r="B351" t="s">
        <v>1080</v>
      </c>
      <c r="C351" s="9">
        <v>45770</v>
      </c>
      <c r="D351" s="9">
        <v>45771</v>
      </c>
      <c r="E351" t="s">
        <v>127</v>
      </c>
      <c r="F351" t="s">
        <v>683</v>
      </c>
      <c r="G351">
        <v>12</v>
      </c>
      <c r="H351">
        <v>49.2</v>
      </c>
      <c r="I351" t="s">
        <v>916</v>
      </c>
      <c r="K351" t="b">
        <f>IF(Table1[[#This Row],[dispatch_date]]-Table1[[#This Row],[order_date]] &gt;=0, TRUE, FALSE)</f>
        <v>1</v>
      </c>
    </row>
    <row r="352" spans="1:11" x14ac:dyDescent="0.2">
      <c r="A352" t="s">
        <v>2735</v>
      </c>
      <c r="B352" t="s">
        <v>1024</v>
      </c>
      <c r="C352" s="9">
        <v>45770</v>
      </c>
      <c r="D352" s="9">
        <v>45770</v>
      </c>
      <c r="E352" t="s">
        <v>78</v>
      </c>
      <c r="F352" t="s">
        <v>273</v>
      </c>
      <c r="G352">
        <v>48</v>
      </c>
      <c r="H352">
        <v>145.91999999999999</v>
      </c>
      <c r="I352" t="s">
        <v>938</v>
      </c>
      <c r="K352" t="b">
        <f>IF(Table1[[#This Row],[dispatch_date]]-Table1[[#This Row],[order_date]] &gt;=0, TRUE, FALSE)</f>
        <v>1</v>
      </c>
    </row>
    <row r="353" spans="1:11" x14ac:dyDescent="0.2">
      <c r="A353" t="s">
        <v>1141</v>
      </c>
      <c r="B353" t="s">
        <v>1027</v>
      </c>
      <c r="C353" s="9">
        <v>45771</v>
      </c>
      <c r="D353" s="9">
        <v>45773</v>
      </c>
      <c r="E353" t="s">
        <v>82</v>
      </c>
      <c r="F353" t="s">
        <v>868</v>
      </c>
      <c r="G353">
        <v>6</v>
      </c>
      <c r="H353">
        <v>11.23</v>
      </c>
      <c r="I353" t="s">
        <v>912</v>
      </c>
      <c r="K353" t="b">
        <f>IF(Table1[[#This Row],[dispatch_date]]-Table1[[#This Row],[order_date]] &gt;=0, TRUE, FALSE)</f>
        <v>1</v>
      </c>
    </row>
    <row r="354" spans="1:11" x14ac:dyDescent="0.2">
      <c r="A354" t="s">
        <v>1803</v>
      </c>
      <c r="B354" t="s">
        <v>987</v>
      </c>
      <c r="C354" s="9">
        <v>45771</v>
      </c>
      <c r="D354" s="9">
        <v>45771</v>
      </c>
      <c r="E354" t="s">
        <v>22</v>
      </c>
      <c r="F354" t="s">
        <v>734</v>
      </c>
      <c r="G354">
        <v>36</v>
      </c>
      <c r="H354">
        <v>178.92</v>
      </c>
      <c r="I354" t="s">
        <v>1079</v>
      </c>
      <c r="K354" t="b">
        <f>IF(Table1[[#This Row],[dispatch_date]]-Table1[[#This Row],[order_date]] &gt;=0, TRUE, FALSE)</f>
        <v>1</v>
      </c>
    </row>
    <row r="355" spans="1:11" x14ac:dyDescent="0.2">
      <c r="A355" t="s">
        <v>2671</v>
      </c>
      <c r="B355" t="s">
        <v>1067</v>
      </c>
      <c r="C355" s="9">
        <v>45771</v>
      </c>
      <c r="D355" s="9">
        <v>45773</v>
      </c>
      <c r="E355" t="s">
        <v>63</v>
      </c>
      <c r="F355" t="s">
        <v>744</v>
      </c>
      <c r="G355">
        <v>24</v>
      </c>
      <c r="H355">
        <v>235.2</v>
      </c>
      <c r="I355" t="s">
        <v>912</v>
      </c>
      <c r="K355" t="b">
        <f>IF(Table1[[#This Row],[dispatch_date]]-Table1[[#This Row],[order_date]] &gt;=0, TRUE, FALSE)</f>
        <v>1</v>
      </c>
    </row>
    <row r="356" spans="1:11" x14ac:dyDescent="0.2">
      <c r="A356" t="s">
        <v>1871</v>
      </c>
      <c r="B356" t="s">
        <v>952</v>
      </c>
      <c r="C356" s="9">
        <v>45772</v>
      </c>
      <c r="D356" s="9">
        <v>45774</v>
      </c>
      <c r="E356" t="s">
        <v>50</v>
      </c>
      <c r="F356" t="s">
        <v>558</v>
      </c>
      <c r="G356">
        <v>72</v>
      </c>
      <c r="H356">
        <v>417.24</v>
      </c>
      <c r="I356" t="s">
        <v>938</v>
      </c>
      <c r="K356" t="b">
        <f>IF(Table1[[#This Row],[dispatch_date]]-Table1[[#This Row],[order_date]] &gt;=0, TRUE, FALSE)</f>
        <v>1</v>
      </c>
    </row>
    <row r="357" spans="1:11" x14ac:dyDescent="0.2">
      <c r="A357" t="s">
        <v>1979</v>
      </c>
      <c r="B357" t="s">
        <v>981</v>
      </c>
      <c r="C357" s="9">
        <v>45772</v>
      </c>
      <c r="D357" s="9">
        <v>45772</v>
      </c>
      <c r="E357" t="s">
        <v>38</v>
      </c>
      <c r="F357" t="s">
        <v>889</v>
      </c>
      <c r="G357">
        <v>72</v>
      </c>
      <c r="H357">
        <v>367.2</v>
      </c>
      <c r="I357" t="s">
        <v>916</v>
      </c>
      <c r="K357" t="b">
        <f>IF(Table1[[#This Row],[dispatch_date]]-Table1[[#This Row],[order_date]] &gt;=0, TRUE, FALSE)</f>
        <v>1</v>
      </c>
    </row>
    <row r="358" spans="1:11" x14ac:dyDescent="0.2">
      <c r="A358" t="s">
        <v>2362</v>
      </c>
      <c r="B358" t="s">
        <v>962</v>
      </c>
      <c r="C358" s="9">
        <v>45772</v>
      </c>
      <c r="D358" s="9">
        <v>45773</v>
      </c>
      <c r="E358" t="s">
        <v>33</v>
      </c>
      <c r="F358" t="s">
        <v>478</v>
      </c>
      <c r="G358">
        <v>48</v>
      </c>
      <c r="H358">
        <v>106.08</v>
      </c>
      <c r="I358" t="s">
        <v>938</v>
      </c>
      <c r="K358" t="b">
        <f>IF(Table1[[#This Row],[dispatch_date]]-Table1[[#This Row],[order_date]] &gt;=0, TRUE, FALSE)</f>
        <v>1</v>
      </c>
    </row>
    <row r="359" spans="1:11" x14ac:dyDescent="0.2">
      <c r="A359" t="s">
        <v>2624</v>
      </c>
      <c r="B359" t="s">
        <v>1031</v>
      </c>
      <c r="C359" s="9">
        <v>45772</v>
      </c>
      <c r="D359" s="9">
        <v>45773</v>
      </c>
      <c r="E359" t="s">
        <v>52</v>
      </c>
      <c r="G359">
        <v>24</v>
      </c>
      <c r="H359">
        <v>118.32</v>
      </c>
      <c r="I359" t="s">
        <v>956</v>
      </c>
      <c r="K359" t="b">
        <f>IF(Table1[[#This Row],[dispatch_date]]-Table1[[#This Row],[order_date]] &gt;=0, TRUE, FALSE)</f>
        <v>1</v>
      </c>
    </row>
    <row r="360" spans="1:11" x14ac:dyDescent="0.2">
      <c r="A360" t="s">
        <v>1619</v>
      </c>
      <c r="B360" t="s">
        <v>1009</v>
      </c>
      <c r="C360" s="9">
        <v>45773</v>
      </c>
      <c r="D360" s="9">
        <v>45776</v>
      </c>
      <c r="E360" t="s">
        <v>114</v>
      </c>
      <c r="F360" t="s">
        <v>654</v>
      </c>
      <c r="G360">
        <v>24</v>
      </c>
      <c r="H360">
        <v>112.86</v>
      </c>
      <c r="I360" t="s">
        <v>912</v>
      </c>
      <c r="K360" t="b">
        <f>IF(Table1[[#This Row],[dispatch_date]]-Table1[[#This Row],[order_date]] &gt;=0, TRUE, FALSE)</f>
        <v>1</v>
      </c>
    </row>
    <row r="361" spans="1:11" x14ac:dyDescent="0.2">
      <c r="A361" t="s">
        <v>2716</v>
      </c>
      <c r="B361" t="s">
        <v>960</v>
      </c>
      <c r="C361" s="9">
        <v>45773</v>
      </c>
      <c r="D361" s="9">
        <v>45773</v>
      </c>
      <c r="E361" t="s">
        <v>114</v>
      </c>
      <c r="G361">
        <v>36</v>
      </c>
      <c r="H361">
        <v>178.2</v>
      </c>
      <c r="I361" t="s">
        <v>938</v>
      </c>
      <c r="K361" t="b">
        <f>IF(Table1[[#This Row],[dispatch_date]]-Table1[[#This Row],[order_date]] &gt;=0, TRUE, FALSE)</f>
        <v>1</v>
      </c>
    </row>
    <row r="362" spans="1:11" x14ac:dyDescent="0.2">
      <c r="A362" t="s">
        <v>1540</v>
      </c>
      <c r="B362" t="s">
        <v>962</v>
      </c>
      <c r="C362" s="9">
        <v>45774</v>
      </c>
      <c r="D362" s="9">
        <v>45777</v>
      </c>
      <c r="E362" t="s">
        <v>95</v>
      </c>
      <c r="F362" t="s">
        <v>318</v>
      </c>
      <c r="G362">
        <v>12</v>
      </c>
      <c r="H362">
        <v>44.92</v>
      </c>
      <c r="I362" t="s">
        <v>916</v>
      </c>
      <c r="K362" t="b">
        <f>IF(Table1[[#This Row],[dispatch_date]]-Table1[[#This Row],[order_date]] &gt;=0, TRUE, FALSE)</f>
        <v>1</v>
      </c>
    </row>
    <row r="363" spans="1:11" x14ac:dyDescent="0.2">
      <c r="A363" t="s">
        <v>1543</v>
      </c>
      <c r="B363" t="s">
        <v>939</v>
      </c>
      <c r="C363" s="9">
        <v>45774</v>
      </c>
      <c r="D363" s="9">
        <v>45775</v>
      </c>
      <c r="E363" t="s">
        <v>108</v>
      </c>
      <c r="G363">
        <v>12</v>
      </c>
      <c r="H363">
        <v>85.68</v>
      </c>
      <c r="I363" t="s">
        <v>916</v>
      </c>
      <c r="K363" t="b">
        <f>IF(Table1[[#This Row],[dispatch_date]]-Table1[[#This Row],[order_date]] &gt;=0, TRUE, FALSE)</f>
        <v>1</v>
      </c>
    </row>
    <row r="364" spans="1:11" x14ac:dyDescent="0.2">
      <c r="A364" t="s">
        <v>1663</v>
      </c>
      <c r="B364" t="s">
        <v>945</v>
      </c>
      <c r="C364" s="9">
        <v>45774</v>
      </c>
      <c r="D364" s="9">
        <v>45774</v>
      </c>
      <c r="E364" t="s">
        <v>129</v>
      </c>
      <c r="F364" t="s">
        <v>660</v>
      </c>
      <c r="G364">
        <v>72</v>
      </c>
      <c r="H364">
        <v>342</v>
      </c>
      <c r="I364" t="s">
        <v>916</v>
      </c>
      <c r="K364" t="b">
        <f>IF(Table1[[#This Row],[dispatch_date]]-Table1[[#This Row],[order_date]] &gt;=0, TRUE, FALSE)</f>
        <v>1</v>
      </c>
    </row>
    <row r="365" spans="1:11" x14ac:dyDescent="0.2">
      <c r="A365" t="s">
        <v>2431</v>
      </c>
      <c r="B365" t="s">
        <v>939</v>
      </c>
      <c r="C365" s="9">
        <v>45774</v>
      </c>
      <c r="D365" s="9">
        <v>45776</v>
      </c>
      <c r="E365" t="s">
        <v>123</v>
      </c>
      <c r="F365" t="s">
        <v>721</v>
      </c>
      <c r="G365">
        <v>72</v>
      </c>
      <c r="H365">
        <v>503.28</v>
      </c>
      <c r="I365" t="s">
        <v>912</v>
      </c>
      <c r="K365" t="b">
        <f>IF(Table1[[#This Row],[dispatch_date]]-Table1[[#This Row],[order_date]] &gt;=0, TRUE, FALSE)</f>
        <v>1</v>
      </c>
    </row>
    <row r="366" spans="1:11" x14ac:dyDescent="0.2">
      <c r="A366" t="s">
        <v>2598</v>
      </c>
      <c r="B366" t="s">
        <v>1046</v>
      </c>
      <c r="C366" s="9">
        <v>45774</v>
      </c>
      <c r="D366" s="9">
        <v>45774</v>
      </c>
      <c r="E366" t="s">
        <v>17</v>
      </c>
      <c r="F366" t="s">
        <v>458</v>
      </c>
      <c r="G366">
        <v>6</v>
      </c>
      <c r="H366">
        <v>34.14</v>
      </c>
      <c r="I366" t="s">
        <v>912</v>
      </c>
      <c r="K366" t="b">
        <f>IF(Table1[[#This Row],[dispatch_date]]-Table1[[#This Row],[order_date]] &gt;=0, TRUE, FALSE)</f>
        <v>1</v>
      </c>
    </row>
    <row r="367" spans="1:11" x14ac:dyDescent="0.2">
      <c r="A367" t="s">
        <v>1151</v>
      </c>
      <c r="B367" t="s">
        <v>1029</v>
      </c>
      <c r="C367" s="9">
        <v>45775</v>
      </c>
      <c r="D367" s="9">
        <v>45777</v>
      </c>
      <c r="E367" t="s">
        <v>54</v>
      </c>
      <c r="G367">
        <v>72</v>
      </c>
      <c r="H367">
        <v>318.95999999999998</v>
      </c>
      <c r="I367" t="s">
        <v>938</v>
      </c>
      <c r="K367" t="b">
        <f>IF(Table1[[#This Row],[dispatch_date]]-Table1[[#This Row],[order_date]] &gt;=0, TRUE, FALSE)</f>
        <v>1</v>
      </c>
    </row>
    <row r="368" spans="1:11" x14ac:dyDescent="0.2">
      <c r="A368" t="s">
        <v>1484</v>
      </c>
      <c r="B368" t="s">
        <v>987</v>
      </c>
      <c r="C368" s="9">
        <v>45775</v>
      </c>
      <c r="D368" s="9">
        <v>45775</v>
      </c>
      <c r="E368" t="s">
        <v>38</v>
      </c>
      <c r="F368" t="s">
        <v>889</v>
      </c>
      <c r="G368">
        <v>24</v>
      </c>
      <c r="H368">
        <v>122.4</v>
      </c>
      <c r="I368" t="s">
        <v>1079</v>
      </c>
      <c r="K368" t="b">
        <f>IF(Table1[[#This Row],[dispatch_date]]-Table1[[#This Row],[order_date]] &gt;=0, TRUE, FALSE)</f>
        <v>1</v>
      </c>
    </row>
    <row r="369" spans="1:11" x14ac:dyDescent="0.2">
      <c r="A369" t="s">
        <v>1577</v>
      </c>
      <c r="B369" t="s">
        <v>991</v>
      </c>
      <c r="C369" s="9">
        <v>45775</v>
      </c>
      <c r="D369" s="9">
        <v>45778</v>
      </c>
      <c r="E369" t="s">
        <v>118</v>
      </c>
      <c r="F369" t="s">
        <v>288</v>
      </c>
      <c r="G369">
        <v>12</v>
      </c>
      <c r="H369">
        <v>157.68</v>
      </c>
      <c r="I369" t="s">
        <v>956</v>
      </c>
      <c r="K369" t="b">
        <f>IF(Table1[[#This Row],[dispatch_date]]-Table1[[#This Row],[order_date]] &gt;=0, TRUE, FALSE)</f>
        <v>1</v>
      </c>
    </row>
    <row r="370" spans="1:11" x14ac:dyDescent="0.2">
      <c r="A370" t="s">
        <v>1421</v>
      </c>
      <c r="B370" t="s">
        <v>1055</v>
      </c>
      <c r="C370" s="9">
        <v>45776</v>
      </c>
      <c r="D370" s="9">
        <v>45776</v>
      </c>
      <c r="E370" t="s">
        <v>108</v>
      </c>
      <c r="F370" t="s">
        <v>821</v>
      </c>
      <c r="G370">
        <v>12</v>
      </c>
      <c r="H370">
        <v>85.68</v>
      </c>
      <c r="I370" t="s">
        <v>938</v>
      </c>
      <c r="K370" t="b">
        <f>IF(Table1[[#This Row],[dispatch_date]]-Table1[[#This Row],[order_date]] &gt;=0, TRUE, FALSE)</f>
        <v>1</v>
      </c>
    </row>
    <row r="371" spans="1:11" x14ac:dyDescent="0.2">
      <c r="A371" t="s">
        <v>1684</v>
      </c>
      <c r="B371" t="s">
        <v>1024</v>
      </c>
      <c r="C371" s="9">
        <v>45776</v>
      </c>
      <c r="D371" s="9">
        <v>45777</v>
      </c>
      <c r="E371" t="s">
        <v>44</v>
      </c>
      <c r="F371" t="s">
        <v>662</v>
      </c>
      <c r="G371">
        <v>36</v>
      </c>
      <c r="H371">
        <v>217.8</v>
      </c>
      <c r="I371" t="s">
        <v>938</v>
      </c>
      <c r="K371" t="b">
        <f>IF(Table1[[#This Row],[dispatch_date]]-Table1[[#This Row],[order_date]] &gt;=0, TRUE, FALSE)</f>
        <v>1</v>
      </c>
    </row>
    <row r="372" spans="1:11" x14ac:dyDescent="0.2">
      <c r="A372" t="s">
        <v>1955</v>
      </c>
      <c r="B372" t="s">
        <v>1060</v>
      </c>
      <c r="C372" s="9">
        <v>45776</v>
      </c>
      <c r="D372" s="9">
        <v>45777</v>
      </c>
      <c r="E372" t="s">
        <v>78</v>
      </c>
      <c r="F372" t="s">
        <v>273</v>
      </c>
      <c r="G372">
        <v>72</v>
      </c>
      <c r="H372">
        <v>230.4</v>
      </c>
      <c r="I372" t="s">
        <v>956</v>
      </c>
      <c r="K372" t="b">
        <f>IF(Table1[[#This Row],[dispatch_date]]-Table1[[#This Row],[order_date]] &gt;=0, TRUE, FALSE)</f>
        <v>1</v>
      </c>
    </row>
    <row r="373" spans="1:11" x14ac:dyDescent="0.2">
      <c r="A373" t="s">
        <v>2779</v>
      </c>
      <c r="B373" t="s">
        <v>981</v>
      </c>
      <c r="C373" s="9">
        <v>45776</v>
      </c>
      <c r="D373" s="9">
        <v>45777</v>
      </c>
      <c r="E373" t="s">
        <v>95</v>
      </c>
      <c r="G373">
        <v>24</v>
      </c>
      <c r="H373">
        <v>89.83</v>
      </c>
      <c r="I373" t="s">
        <v>916</v>
      </c>
      <c r="K373" t="b">
        <f>IF(Table1[[#This Row],[dispatch_date]]-Table1[[#This Row],[order_date]] &gt;=0, TRUE, FALSE)</f>
        <v>1</v>
      </c>
    </row>
    <row r="374" spans="1:11" x14ac:dyDescent="0.2">
      <c r="A374" t="s">
        <v>1120</v>
      </c>
      <c r="B374" t="s">
        <v>987</v>
      </c>
      <c r="C374" s="9">
        <v>45777</v>
      </c>
      <c r="D374" s="9">
        <v>45778</v>
      </c>
      <c r="E374" t="s">
        <v>63</v>
      </c>
      <c r="F374" t="s">
        <v>844</v>
      </c>
      <c r="G374">
        <v>48</v>
      </c>
      <c r="H374">
        <v>470.4</v>
      </c>
      <c r="I374" t="s">
        <v>1079</v>
      </c>
      <c r="K374" t="b">
        <f>IF(Table1[[#This Row],[dispatch_date]]-Table1[[#This Row],[order_date]] &gt;=0, TRUE, FALSE)</f>
        <v>1</v>
      </c>
    </row>
    <row r="375" spans="1:11" x14ac:dyDescent="0.2">
      <c r="A375" t="s">
        <v>1235</v>
      </c>
      <c r="B375" t="s">
        <v>1056</v>
      </c>
      <c r="C375" s="9">
        <v>45777</v>
      </c>
      <c r="D375" s="9">
        <v>45778</v>
      </c>
      <c r="E375" t="s">
        <v>69</v>
      </c>
      <c r="G375">
        <v>48</v>
      </c>
      <c r="H375">
        <v>256.32</v>
      </c>
      <c r="I375" t="s">
        <v>912</v>
      </c>
      <c r="K375" t="b">
        <f>IF(Table1[[#This Row],[dispatch_date]]-Table1[[#This Row],[order_date]] &gt;=0, TRUE, FALSE)</f>
        <v>1</v>
      </c>
    </row>
    <row r="376" spans="1:11" x14ac:dyDescent="0.2">
      <c r="A376" t="s">
        <v>1769</v>
      </c>
      <c r="B376" t="s">
        <v>1077</v>
      </c>
      <c r="C376" s="9">
        <v>45777</v>
      </c>
      <c r="D376" s="9">
        <v>45780</v>
      </c>
      <c r="E376" t="s">
        <v>71</v>
      </c>
      <c r="F376" t="s">
        <v>881</v>
      </c>
      <c r="G376">
        <v>48</v>
      </c>
      <c r="H376">
        <v>433.66</v>
      </c>
      <c r="I376" t="s">
        <v>1079</v>
      </c>
      <c r="K376" t="b">
        <f>IF(Table1[[#This Row],[dispatch_date]]-Table1[[#This Row],[order_date]] &gt;=0, TRUE, FALSE)</f>
        <v>1</v>
      </c>
    </row>
    <row r="377" spans="1:11" x14ac:dyDescent="0.2">
      <c r="A377" t="s">
        <v>2357</v>
      </c>
      <c r="B377" t="s">
        <v>1021</v>
      </c>
      <c r="C377" s="9">
        <v>45777</v>
      </c>
      <c r="D377" s="9">
        <v>45778</v>
      </c>
      <c r="E377" t="s">
        <v>82</v>
      </c>
      <c r="G377">
        <v>12</v>
      </c>
      <c r="H377">
        <v>23.64</v>
      </c>
      <c r="I377" t="s">
        <v>916</v>
      </c>
      <c r="K377" t="b">
        <f>IF(Table1[[#This Row],[dispatch_date]]-Table1[[#This Row],[order_date]] &gt;=0, TRUE, FALSE)</f>
        <v>1</v>
      </c>
    </row>
    <row r="378" spans="1:11" x14ac:dyDescent="0.2">
      <c r="A378" t="s">
        <v>2827</v>
      </c>
      <c r="B378" t="s">
        <v>1069</v>
      </c>
      <c r="C378" s="9">
        <v>45777</v>
      </c>
      <c r="D378" s="9">
        <v>45780</v>
      </c>
      <c r="E378" t="s">
        <v>69</v>
      </c>
      <c r="F378" t="s">
        <v>576</v>
      </c>
      <c r="G378">
        <v>24</v>
      </c>
      <c r="H378">
        <v>128.16</v>
      </c>
      <c r="I378" t="s">
        <v>956</v>
      </c>
      <c r="K378" t="b">
        <f>IF(Table1[[#This Row],[dispatch_date]]-Table1[[#This Row],[order_date]] &gt;=0, TRUE, FALSE)</f>
        <v>1</v>
      </c>
    </row>
    <row r="379" spans="1:11" x14ac:dyDescent="0.2">
      <c r="A379" t="s">
        <v>1375</v>
      </c>
      <c r="B379" t="s">
        <v>1055</v>
      </c>
      <c r="C379" s="9">
        <v>45778</v>
      </c>
      <c r="D379" s="9">
        <v>45778</v>
      </c>
      <c r="E379" t="s">
        <v>42</v>
      </c>
      <c r="F379" t="s">
        <v>695</v>
      </c>
      <c r="G379">
        <v>36</v>
      </c>
      <c r="H379">
        <v>111.83</v>
      </c>
      <c r="I379" t="s">
        <v>938</v>
      </c>
      <c r="K379" t="b">
        <f>IF(Table1[[#This Row],[dispatch_date]]-Table1[[#This Row],[order_date]] &gt;=0, TRUE, FALSE)</f>
        <v>1</v>
      </c>
    </row>
    <row r="380" spans="1:11" x14ac:dyDescent="0.2">
      <c r="A380" t="s">
        <v>2243</v>
      </c>
      <c r="B380" t="s">
        <v>1018</v>
      </c>
      <c r="C380" s="9">
        <v>45778</v>
      </c>
      <c r="D380" s="9">
        <v>45780</v>
      </c>
      <c r="E380" t="s">
        <v>52</v>
      </c>
      <c r="F380" t="s">
        <v>796</v>
      </c>
      <c r="G380">
        <v>72</v>
      </c>
      <c r="H380">
        <v>354.96</v>
      </c>
      <c r="I380" t="s">
        <v>916</v>
      </c>
      <c r="K380" t="b">
        <f>IF(Table1[[#This Row],[dispatch_date]]-Table1[[#This Row],[order_date]] &gt;=0, TRUE, FALSE)</f>
        <v>1</v>
      </c>
    </row>
    <row r="381" spans="1:11" x14ac:dyDescent="0.2">
      <c r="A381" t="s">
        <v>1114</v>
      </c>
      <c r="B381" t="s">
        <v>958</v>
      </c>
      <c r="C381" s="9">
        <v>45779</v>
      </c>
      <c r="D381" s="9">
        <v>45782</v>
      </c>
      <c r="E381" t="s">
        <v>17</v>
      </c>
      <c r="F381" t="s">
        <v>307</v>
      </c>
      <c r="G381">
        <v>72</v>
      </c>
      <c r="H381">
        <v>431.28</v>
      </c>
      <c r="I381" t="s">
        <v>956</v>
      </c>
      <c r="K381" t="b">
        <f>IF(Table1[[#This Row],[dispatch_date]]-Table1[[#This Row],[order_date]] &gt;=0, TRUE, FALSE)</f>
        <v>1</v>
      </c>
    </row>
    <row r="382" spans="1:11" x14ac:dyDescent="0.2">
      <c r="A382" t="s">
        <v>1826</v>
      </c>
      <c r="B382" t="s">
        <v>1018</v>
      </c>
      <c r="C382" s="9">
        <v>45779</v>
      </c>
      <c r="D382" s="9">
        <v>45779</v>
      </c>
      <c r="E382" t="s">
        <v>58</v>
      </c>
      <c r="F382" t="s">
        <v>235</v>
      </c>
      <c r="G382">
        <v>36</v>
      </c>
      <c r="H382">
        <v>226.8</v>
      </c>
      <c r="I382" t="s">
        <v>916</v>
      </c>
      <c r="K382" t="b">
        <f>IF(Table1[[#This Row],[dispatch_date]]-Table1[[#This Row],[order_date]] &gt;=0, TRUE, FALSE)</f>
        <v>1</v>
      </c>
    </row>
    <row r="383" spans="1:11" x14ac:dyDescent="0.2">
      <c r="A383" t="s">
        <v>2180</v>
      </c>
      <c r="B383" t="s">
        <v>973</v>
      </c>
      <c r="C383" s="9">
        <v>45779</v>
      </c>
      <c r="D383" s="9">
        <v>45780</v>
      </c>
      <c r="E383" t="s">
        <v>22</v>
      </c>
      <c r="G383">
        <v>6</v>
      </c>
      <c r="H383">
        <v>29.82</v>
      </c>
      <c r="I383" t="s">
        <v>1079</v>
      </c>
      <c r="K383" t="b">
        <f>IF(Table1[[#This Row],[dispatch_date]]-Table1[[#This Row],[order_date]] &gt;=0, TRUE, FALSE)</f>
        <v>1</v>
      </c>
    </row>
    <row r="384" spans="1:11" x14ac:dyDescent="0.2">
      <c r="A384" t="s">
        <v>2503</v>
      </c>
      <c r="B384" t="s">
        <v>991</v>
      </c>
      <c r="C384" s="9">
        <v>45779</v>
      </c>
      <c r="D384" s="9">
        <v>45780</v>
      </c>
      <c r="E384" t="s">
        <v>25</v>
      </c>
      <c r="F384" t="s">
        <v>652</v>
      </c>
      <c r="G384">
        <v>36</v>
      </c>
      <c r="H384">
        <v>189.81</v>
      </c>
      <c r="I384" t="s">
        <v>956</v>
      </c>
      <c r="K384" t="b">
        <f>IF(Table1[[#This Row],[dispatch_date]]-Table1[[#This Row],[order_date]] &gt;=0, TRUE, FALSE)</f>
        <v>1</v>
      </c>
    </row>
    <row r="385" spans="1:11" x14ac:dyDescent="0.2">
      <c r="A385" t="s">
        <v>2560</v>
      </c>
      <c r="B385" t="s">
        <v>1001</v>
      </c>
      <c r="C385" s="9">
        <v>45779</v>
      </c>
      <c r="D385" s="9">
        <v>45781</v>
      </c>
      <c r="E385" t="s">
        <v>44</v>
      </c>
      <c r="F385" t="s">
        <v>662</v>
      </c>
      <c r="G385">
        <v>6</v>
      </c>
      <c r="H385">
        <v>34.479999999999997</v>
      </c>
      <c r="I385" t="s">
        <v>916</v>
      </c>
      <c r="K385" t="b">
        <f>IF(Table1[[#This Row],[dispatch_date]]-Table1[[#This Row],[order_date]] &gt;=0, TRUE, FALSE)</f>
        <v>1</v>
      </c>
    </row>
    <row r="386" spans="1:11" x14ac:dyDescent="0.2">
      <c r="A386" t="s">
        <v>2705</v>
      </c>
      <c r="B386" t="s">
        <v>993</v>
      </c>
      <c r="C386" s="9">
        <v>45779</v>
      </c>
      <c r="D386" s="9">
        <v>45779</v>
      </c>
      <c r="E386" t="s">
        <v>25</v>
      </c>
      <c r="G386">
        <v>24</v>
      </c>
      <c r="H386">
        <v>133.19999999999999</v>
      </c>
      <c r="I386" t="s">
        <v>938</v>
      </c>
      <c r="K386" t="b">
        <f>IF(Table1[[#This Row],[dispatch_date]]-Table1[[#This Row],[order_date]] &gt;=0, TRUE, FALSE)</f>
        <v>1</v>
      </c>
    </row>
    <row r="387" spans="1:11" x14ac:dyDescent="0.2">
      <c r="A387" t="s">
        <v>2818</v>
      </c>
      <c r="B387" t="s">
        <v>939</v>
      </c>
      <c r="C387" s="9">
        <v>45779</v>
      </c>
      <c r="D387" s="9">
        <v>45779</v>
      </c>
      <c r="E387" t="s">
        <v>65</v>
      </c>
      <c r="F387" t="s">
        <v>508</v>
      </c>
      <c r="G387">
        <v>24</v>
      </c>
      <c r="H387">
        <v>318.48</v>
      </c>
      <c r="I387" t="s">
        <v>916</v>
      </c>
      <c r="K387" t="b">
        <f>IF(Table1[[#This Row],[dispatch_date]]-Table1[[#This Row],[order_date]] &gt;=0, TRUE, FALSE)</f>
        <v>1</v>
      </c>
    </row>
    <row r="388" spans="1:11" x14ac:dyDescent="0.2">
      <c r="A388" t="s">
        <v>2843</v>
      </c>
      <c r="B388" t="s">
        <v>981</v>
      </c>
      <c r="C388" s="9">
        <v>45779</v>
      </c>
      <c r="D388" s="9">
        <v>45780</v>
      </c>
      <c r="E388" t="s">
        <v>19</v>
      </c>
      <c r="F388" t="s">
        <v>646</v>
      </c>
      <c r="G388">
        <v>24</v>
      </c>
      <c r="H388">
        <v>48.72</v>
      </c>
      <c r="I388" t="s">
        <v>912</v>
      </c>
      <c r="K388" t="b">
        <f>IF(Table1[[#This Row],[dispatch_date]]-Table1[[#This Row],[order_date]] &gt;=0, TRUE, FALSE)</f>
        <v>1</v>
      </c>
    </row>
    <row r="389" spans="1:11" x14ac:dyDescent="0.2">
      <c r="A389" t="s">
        <v>2851</v>
      </c>
      <c r="B389" t="s">
        <v>1031</v>
      </c>
      <c r="C389" s="9">
        <v>45779</v>
      </c>
      <c r="D389" s="9">
        <v>45780</v>
      </c>
      <c r="E389" t="s">
        <v>22</v>
      </c>
      <c r="F389" t="s">
        <v>532</v>
      </c>
      <c r="G389">
        <v>24</v>
      </c>
      <c r="H389">
        <v>113.32</v>
      </c>
      <c r="I389" t="s">
        <v>956</v>
      </c>
      <c r="K389" t="b">
        <f>IF(Table1[[#This Row],[dispatch_date]]-Table1[[#This Row],[order_date]] &gt;=0, TRUE, FALSE)</f>
        <v>1</v>
      </c>
    </row>
    <row r="390" spans="1:11" x14ac:dyDescent="0.2">
      <c r="A390" t="s">
        <v>1305</v>
      </c>
      <c r="B390" t="s">
        <v>1031</v>
      </c>
      <c r="C390" s="9">
        <v>45721</v>
      </c>
      <c r="D390" s="9">
        <v>45721</v>
      </c>
      <c r="E390" t="s">
        <v>105</v>
      </c>
      <c r="F390" t="s">
        <v>452</v>
      </c>
      <c r="G390">
        <v>12</v>
      </c>
      <c r="H390">
        <v>71.400000000000006</v>
      </c>
      <c r="I390" t="s">
        <v>956</v>
      </c>
      <c r="J390" t="s">
        <v>3134</v>
      </c>
      <c r="K390" t="b">
        <f>IF(Table1[[#This Row],[dispatch_date]]-Table1[[#This Row],[order_date]] &gt;=0, TRUE, FALSE)</f>
        <v>1</v>
      </c>
    </row>
    <row r="391" spans="1:11" x14ac:dyDescent="0.2">
      <c r="A391" t="s">
        <v>1775</v>
      </c>
      <c r="B391" t="s">
        <v>951</v>
      </c>
      <c r="C391" s="9">
        <v>45780</v>
      </c>
      <c r="D391" s="9"/>
      <c r="E391" t="s">
        <v>116</v>
      </c>
      <c r="F391" t="s">
        <v>266</v>
      </c>
      <c r="G391">
        <v>12</v>
      </c>
      <c r="H391">
        <v>58.08</v>
      </c>
      <c r="I391" t="s">
        <v>956</v>
      </c>
      <c r="K391" t="b">
        <f>IF(Table1[[#This Row],[dispatch_date]]-Table1[[#This Row],[order_date]] &gt;=0, TRUE, FALSE)</f>
        <v>0</v>
      </c>
    </row>
    <row r="392" spans="1:11" x14ac:dyDescent="0.2">
      <c r="A392" t="s">
        <v>1996</v>
      </c>
      <c r="B392" t="s">
        <v>1055</v>
      </c>
      <c r="C392" s="9">
        <v>45781</v>
      </c>
      <c r="D392" s="9">
        <v>45782</v>
      </c>
      <c r="E392" t="s">
        <v>78</v>
      </c>
      <c r="F392" t="s">
        <v>273</v>
      </c>
      <c r="G392">
        <v>6</v>
      </c>
      <c r="H392">
        <v>19.2</v>
      </c>
      <c r="I392" t="s">
        <v>938</v>
      </c>
      <c r="K392" t="b">
        <f>IF(Table1[[#This Row],[dispatch_date]]-Table1[[#This Row],[order_date]] &gt;=0, TRUE, FALSE)</f>
        <v>1</v>
      </c>
    </row>
    <row r="393" spans="1:11" x14ac:dyDescent="0.2">
      <c r="A393" t="s">
        <v>2226</v>
      </c>
      <c r="B393" t="s">
        <v>983</v>
      </c>
      <c r="C393" s="9">
        <v>45781</v>
      </c>
      <c r="D393" s="9">
        <v>45782</v>
      </c>
      <c r="E393" t="s">
        <v>67</v>
      </c>
      <c r="G393">
        <v>48</v>
      </c>
      <c r="H393">
        <v>241.68</v>
      </c>
      <c r="I393" t="s">
        <v>916</v>
      </c>
      <c r="K393" t="b">
        <f>IF(Table1[[#This Row],[dispatch_date]]-Table1[[#This Row],[order_date]] &gt;=0, TRUE, FALSE)</f>
        <v>1</v>
      </c>
    </row>
    <row r="394" spans="1:11" x14ac:dyDescent="0.2">
      <c r="A394" t="s">
        <v>2719</v>
      </c>
      <c r="B394" t="s">
        <v>945</v>
      </c>
      <c r="C394" s="9">
        <v>45781</v>
      </c>
      <c r="D394" s="9">
        <v>45781</v>
      </c>
      <c r="E394" t="s">
        <v>93</v>
      </c>
      <c r="F394" t="s">
        <v>849</v>
      </c>
      <c r="G394">
        <v>24</v>
      </c>
      <c r="H394">
        <v>66.959999999999994</v>
      </c>
      <c r="I394" t="s">
        <v>938</v>
      </c>
      <c r="K394" t="b">
        <f>IF(Table1[[#This Row],[dispatch_date]]-Table1[[#This Row],[order_date]] &gt;=0, TRUE, FALSE)</f>
        <v>1</v>
      </c>
    </row>
    <row r="395" spans="1:11" x14ac:dyDescent="0.2">
      <c r="A395" t="s">
        <v>2781</v>
      </c>
      <c r="B395" t="s">
        <v>925</v>
      </c>
      <c r="C395" s="9">
        <v>45781</v>
      </c>
      <c r="D395" s="9">
        <v>45782</v>
      </c>
      <c r="E395" t="s">
        <v>50</v>
      </c>
      <c r="G395">
        <v>6</v>
      </c>
      <c r="H395">
        <v>34.770000000000003</v>
      </c>
      <c r="I395" t="s">
        <v>927</v>
      </c>
      <c r="K395" t="b">
        <f>IF(Table1[[#This Row],[dispatch_date]]-Table1[[#This Row],[order_date]] &gt;=0, TRUE, FALSE)</f>
        <v>1</v>
      </c>
    </row>
    <row r="396" spans="1:11" x14ac:dyDescent="0.2">
      <c r="A396" t="s">
        <v>1267</v>
      </c>
      <c r="B396" t="s">
        <v>948</v>
      </c>
      <c r="C396" s="9">
        <v>45782</v>
      </c>
      <c r="D396" s="9">
        <v>45782</v>
      </c>
      <c r="E396" t="s">
        <v>42</v>
      </c>
      <c r="F396" t="s">
        <v>874</v>
      </c>
      <c r="G396">
        <v>36</v>
      </c>
      <c r="H396">
        <v>117.72</v>
      </c>
      <c r="I396" t="s">
        <v>938</v>
      </c>
      <c r="K396" t="b">
        <f>IF(Table1[[#This Row],[dispatch_date]]-Table1[[#This Row],[order_date]] &gt;=0, TRUE, FALSE)</f>
        <v>1</v>
      </c>
    </row>
    <row r="397" spans="1:11" x14ac:dyDescent="0.2">
      <c r="A397" t="s">
        <v>1438</v>
      </c>
      <c r="B397" t="s">
        <v>1040</v>
      </c>
      <c r="C397" s="9">
        <v>45782</v>
      </c>
      <c r="D397" s="9">
        <v>45784</v>
      </c>
      <c r="E397" t="s">
        <v>54</v>
      </c>
      <c r="F397" t="s">
        <v>529</v>
      </c>
      <c r="G397">
        <v>12</v>
      </c>
      <c r="H397">
        <v>53.16</v>
      </c>
      <c r="I397" t="s">
        <v>916</v>
      </c>
      <c r="K397" t="b">
        <f>IF(Table1[[#This Row],[dispatch_date]]-Table1[[#This Row],[order_date]] &gt;=0, TRUE, FALSE)</f>
        <v>1</v>
      </c>
    </row>
    <row r="398" spans="1:11" x14ac:dyDescent="0.2">
      <c r="A398" t="s">
        <v>1949</v>
      </c>
      <c r="B398" t="s">
        <v>1080</v>
      </c>
      <c r="C398" s="9">
        <v>45782</v>
      </c>
      <c r="D398" s="9">
        <v>45784</v>
      </c>
      <c r="E398" t="s">
        <v>42</v>
      </c>
      <c r="G398">
        <v>24</v>
      </c>
      <c r="H398">
        <v>78.48</v>
      </c>
      <c r="I398" t="s">
        <v>916</v>
      </c>
      <c r="K398" t="b">
        <f>IF(Table1[[#This Row],[dispatch_date]]-Table1[[#This Row],[order_date]] &gt;=0, TRUE, FALSE)</f>
        <v>1</v>
      </c>
    </row>
    <row r="399" spans="1:11" x14ac:dyDescent="0.2">
      <c r="A399" t="s">
        <v>1477</v>
      </c>
      <c r="B399" t="s">
        <v>981</v>
      </c>
      <c r="C399" s="9">
        <v>45783</v>
      </c>
      <c r="D399" s="9">
        <v>45786</v>
      </c>
      <c r="E399" t="s">
        <v>50</v>
      </c>
      <c r="F399" t="s">
        <v>525</v>
      </c>
      <c r="G399">
        <v>6</v>
      </c>
      <c r="H399">
        <v>34.770000000000003</v>
      </c>
      <c r="I399" t="s">
        <v>916</v>
      </c>
      <c r="K399" t="b">
        <f>IF(Table1[[#This Row],[dispatch_date]]-Table1[[#This Row],[order_date]] &gt;=0, TRUE, FALSE)</f>
        <v>1</v>
      </c>
    </row>
    <row r="400" spans="1:11" x14ac:dyDescent="0.2">
      <c r="A400" t="s">
        <v>1560</v>
      </c>
      <c r="B400" t="s">
        <v>1080</v>
      </c>
      <c r="C400" s="9">
        <v>45783</v>
      </c>
      <c r="D400" s="9">
        <v>45783</v>
      </c>
      <c r="E400" t="s">
        <v>86</v>
      </c>
      <c r="F400" t="s">
        <v>666</v>
      </c>
      <c r="G400">
        <v>24</v>
      </c>
      <c r="H400">
        <v>76.56</v>
      </c>
      <c r="I400" t="s">
        <v>912</v>
      </c>
      <c r="K400" t="b">
        <f>IF(Table1[[#This Row],[dispatch_date]]-Table1[[#This Row],[order_date]] &gt;=0, TRUE, FALSE)</f>
        <v>1</v>
      </c>
    </row>
    <row r="401" spans="1:11" x14ac:dyDescent="0.2">
      <c r="A401" t="s">
        <v>2706</v>
      </c>
      <c r="B401" t="s">
        <v>1016</v>
      </c>
      <c r="C401" s="9">
        <v>45783</v>
      </c>
      <c r="D401" s="9">
        <v>45784</v>
      </c>
      <c r="E401" t="s">
        <v>95</v>
      </c>
      <c r="F401" t="s">
        <v>294</v>
      </c>
      <c r="G401">
        <v>12</v>
      </c>
      <c r="H401">
        <v>47.28</v>
      </c>
      <c r="I401" t="s">
        <v>912</v>
      </c>
      <c r="K401" t="b">
        <f>IF(Table1[[#This Row],[dispatch_date]]-Table1[[#This Row],[order_date]] &gt;=0, TRUE, FALSE)</f>
        <v>1</v>
      </c>
    </row>
    <row r="402" spans="1:11" x14ac:dyDescent="0.2">
      <c r="A402" t="s">
        <v>2311</v>
      </c>
      <c r="B402" t="s">
        <v>979</v>
      </c>
      <c r="C402" s="9">
        <v>45784</v>
      </c>
      <c r="D402" s="9"/>
      <c r="E402" t="s">
        <v>116</v>
      </c>
      <c r="G402">
        <v>36</v>
      </c>
      <c r="H402">
        <v>165.53</v>
      </c>
      <c r="I402" t="s">
        <v>927</v>
      </c>
      <c r="K402" t="b">
        <f>IF(Table1[[#This Row],[dispatch_date]]-Table1[[#This Row],[order_date]] &gt;=0, TRUE, FALSE)</f>
        <v>0</v>
      </c>
    </row>
    <row r="403" spans="1:11" x14ac:dyDescent="0.2">
      <c r="A403" t="s">
        <v>1776</v>
      </c>
      <c r="B403" t="s">
        <v>1031</v>
      </c>
      <c r="C403" s="9">
        <v>45785</v>
      </c>
      <c r="D403" s="9">
        <v>45788</v>
      </c>
      <c r="E403" t="s">
        <v>116</v>
      </c>
      <c r="F403" t="s">
        <v>540</v>
      </c>
      <c r="G403">
        <v>24</v>
      </c>
      <c r="H403">
        <v>116.16</v>
      </c>
      <c r="I403" t="s">
        <v>956</v>
      </c>
      <c r="K403" t="b">
        <f>IF(Table1[[#This Row],[dispatch_date]]-Table1[[#This Row],[order_date]] &gt;=0, TRUE, FALSE)</f>
        <v>1</v>
      </c>
    </row>
    <row r="404" spans="1:11" x14ac:dyDescent="0.2">
      <c r="A404" t="s">
        <v>2367</v>
      </c>
      <c r="B404" t="s">
        <v>906</v>
      </c>
      <c r="C404" s="9">
        <v>45785</v>
      </c>
      <c r="D404" s="9">
        <v>45786</v>
      </c>
      <c r="E404" t="s">
        <v>67</v>
      </c>
      <c r="F404" t="s">
        <v>398</v>
      </c>
      <c r="G404">
        <v>24</v>
      </c>
      <c r="H404">
        <v>127.2</v>
      </c>
      <c r="I404" t="s">
        <v>938</v>
      </c>
      <c r="K404" t="b">
        <f>IF(Table1[[#This Row],[dispatch_date]]-Table1[[#This Row],[order_date]] &gt;=0, TRUE, FALSE)</f>
        <v>1</v>
      </c>
    </row>
    <row r="405" spans="1:11" x14ac:dyDescent="0.2">
      <c r="A405" t="s">
        <v>1751</v>
      </c>
      <c r="B405" t="s">
        <v>1037</v>
      </c>
      <c r="C405" s="9">
        <v>45786</v>
      </c>
      <c r="D405" s="9">
        <v>45787</v>
      </c>
      <c r="E405" t="s">
        <v>17</v>
      </c>
      <c r="F405" t="s">
        <v>699</v>
      </c>
      <c r="G405">
        <v>12</v>
      </c>
      <c r="H405">
        <v>68.290000000000006</v>
      </c>
      <c r="I405" t="s">
        <v>938</v>
      </c>
      <c r="K405" t="b">
        <f>IF(Table1[[#This Row],[dispatch_date]]-Table1[[#This Row],[order_date]] &gt;=0, TRUE, FALSE)</f>
        <v>1</v>
      </c>
    </row>
    <row r="406" spans="1:11" x14ac:dyDescent="0.2">
      <c r="A406" t="s">
        <v>2080</v>
      </c>
      <c r="B406" t="s">
        <v>1016</v>
      </c>
      <c r="C406" s="9">
        <v>45786</v>
      </c>
      <c r="D406" s="9">
        <v>45786</v>
      </c>
      <c r="E406" t="s">
        <v>127</v>
      </c>
      <c r="F406" t="s">
        <v>258</v>
      </c>
      <c r="G406">
        <v>24</v>
      </c>
      <c r="H406">
        <v>98.4</v>
      </c>
      <c r="I406" t="s">
        <v>938</v>
      </c>
      <c r="K406" t="b">
        <f>IF(Table1[[#This Row],[dispatch_date]]-Table1[[#This Row],[order_date]] &gt;=0, TRUE, FALSE)</f>
        <v>1</v>
      </c>
    </row>
    <row r="407" spans="1:11" x14ac:dyDescent="0.2">
      <c r="A407" t="s">
        <v>1486</v>
      </c>
      <c r="B407" t="s">
        <v>1016</v>
      </c>
      <c r="C407" s="9">
        <v>45787</v>
      </c>
      <c r="D407" s="9">
        <v>45790</v>
      </c>
      <c r="E407" t="s">
        <v>40</v>
      </c>
      <c r="F407" t="s">
        <v>823</v>
      </c>
      <c r="G407">
        <v>24</v>
      </c>
      <c r="H407">
        <v>93.36</v>
      </c>
      <c r="I407" t="s">
        <v>912</v>
      </c>
      <c r="K407" t="b">
        <f>IF(Table1[[#This Row],[dispatch_date]]-Table1[[#This Row],[order_date]] &gt;=0, TRUE, FALSE)</f>
        <v>1</v>
      </c>
    </row>
    <row r="408" spans="1:11" x14ac:dyDescent="0.2">
      <c r="A408" t="s">
        <v>1542</v>
      </c>
      <c r="B408" t="s">
        <v>1080</v>
      </c>
      <c r="C408" s="9">
        <v>45787</v>
      </c>
      <c r="D408" s="9">
        <v>45790</v>
      </c>
      <c r="E408" t="s">
        <v>69</v>
      </c>
      <c r="F408" t="s">
        <v>364</v>
      </c>
      <c r="G408">
        <v>12</v>
      </c>
      <c r="H408">
        <v>60.88</v>
      </c>
      <c r="I408" t="s">
        <v>916</v>
      </c>
      <c r="K408" t="b">
        <f>IF(Table1[[#This Row],[dispatch_date]]-Table1[[#This Row],[order_date]] &gt;=0, TRUE, FALSE)</f>
        <v>1</v>
      </c>
    </row>
    <row r="409" spans="1:11" x14ac:dyDescent="0.2">
      <c r="A409" t="s">
        <v>1572</v>
      </c>
      <c r="B409" t="s">
        <v>991</v>
      </c>
      <c r="C409" s="9">
        <v>45935</v>
      </c>
      <c r="D409" s="9">
        <v>45937</v>
      </c>
      <c r="E409" t="s">
        <v>86</v>
      </c>
      <c r="F409" t="s">
        <v>876</v>
      </c>
      <c r="G409">
        <v>36</v>
      </c>
      <c r="H409">
        <v>114.84</v>
      </c>
      <c r="I409" t="s">
        <v>956</v>
      </c>
      <c r="K409" t="b">
        <f>IF(Table1[[#This Row],[dispatch_date]]-Table1[[#This Row],[order_date]] &gt;=0, TRUE, FALSE)</f>
        <v>1</v>
      </c>
    </row>
    <row r="410" spans="1:11" x14ac:dyDescent="0.2">
      <c r="A410" t="s">
        <v>2730</v>
      </c>
      <c r="B410" t="s">
        <v>971</v>
      </c>
      <c r="C410" s="9">
        <v>45787</v>
      </c>
      <c r="D410" s="9">
        <v>45790</v>
      </c>
      <c r="E410" t="s">
        <v>103</v>
      </c>
      <c r="F410" t="s">
        <v>776</v>
      </c>
      <c r="G410">
        <v>24</v>
      </c>
      <c r="H410">
        <v>173.04</v>
      </c>
      <c r="I410" t="s">
        <v>956</v>
      </c>
      <c r="K410" t="b">
        <f>IF(Table1[[#This Row],[dispatch_date]]-Table1[[#This Row],[order_date]] &gt;=0, TRUE, FALSE)</f>
        <v>1</v>
      </c>
    </row>
    <row r="411" spans="1:11" x14ac:dyDescent="0.2">
      <c r="A411" t="s">
        <v>1194</v>
      </c>
      <c r="B411" t="s">
        <v>983</v>
      </c>
      <c r="C411" s="9">
        <v>45966</v>
      </c>
      <c r="D411" s="9">
        <v>45967</v>
      </c>
      <c r="E411" t="s">
        <v>44</v>
      </c>
      <c r="F411" t="s">
        <v>511</v>
      </c>
      <c r="G411">
        <v>24</v>
      </c>
      <c r="H411">
        <v>145.19999999999999</v>
      </c>
      <c r="I411" t="s">
        <v>916</v>
      </c>
      <c r="K411" t="b">
        <f>IF(Table1[[#This Row],[dispatch_date]]-Table1[[#This Row],[order_date]] &gt;=0, TRUE, FALSE)</f>
        <v>1</v>
      </c>
    </row>
    <row r="412" spans="1:11" x14ac:dyDescent="0.2">
      <c r="A412" t="s">
        <v>1321</v>
      </c>
      <c r="B412" t="s">
        <v>942</v>
      </c>
      <c r="C412" s="9">
        <v>45788</v>
      </c>
      <c r="D412" s="9">
        <v>45790</v>
      </c>
      <c r="E412" t="s">
        <v>78</v>
      </c>
      <c r="F412" t="s">
        <v>273</v>
      </c>
      <c r="G412">
        <v>72</v>
      </c>
      <c r="H412">
        <v>230.4</v>
      </c>
      <c r="I412" t="s">
        <v>916</v>
      </c>
      <c r="K412" t="b">
        <f>IF(Table1[[#This Row],[dispatch_date]]-Table1[[#This Row],[order_date]] &gt;=0, TRUE, FALSE)</f>
        <v>1</v>
      </c>
    </row>
    <row r="413" spans="1:11" x14ac:dyDescent="0.2">
      <c r="A413" t="s">
        <v>1708</v>
      </c>
      <c r="B413" t="s">
        <v>1060</v>
      </c>
      <c r="C413" s="9">
        <v>45788</v>
      </c>
      <c r="D413" s="9">
        <v>45791</v>
      </c>
      <c r="E413" t="s">
        <v>36</v>
      </c>
      <c r="G413">
        <v>24</v>
      </c>
      <c r="H413">
        <v>38.99</v>
      </c>
      <c r="I413" t="s">
        <v>956</v>
      </c>
      <c r="K413" t="b">
        <f>IF(Table1[[#This Row],[dispatch_date]]-Table1[[#This Row],[order_date]] &gt;=0, TRUE, FALSE)</f>
        <v>1</v>
      </c>
    </row>
    <row r="414" spans="1:11" x14ac:dyDescent="0.2">
      <c r="A414" t="s">
        <v>1904</v>
      </c>
      <c r="B414" t="s">
        <v>1004</v>
      </c>
      <c r="C414" s="9">
        <v>45788</v>
      </c>
      <c r="D414" s="9">
        <v>45790</v>
      </c>
      <c r="E414" t="s">
        <v>99</v>
      </c>
      <c r="F414" t="s">
        <v>703</v>
      </c>
      <c r="G414">
        <v>12</v>
      </c>
      <c r="H414">
        <v>88.68</v>
      </c>
      <c r="I414" t="s">
        <v>927</v>
      </c>
      <c r="K414" t="b">
        <f>IF(Table1[[#This Row],[dispatch_date]]-Table1[[#This Row],[order_date]] &gt;=0, TRUE, FALSE)</f>
        <v>1</v>
      </c>
    </row>
    <row r="415" spans="1:11" x14ac:dyDescent="0.2">
      <c r="A415" t="s">
        <v>2104</v>
      </c>
      <c r="B415" t="s">
        <v>1076</v>
      </c>
      <c r="C415" s="9">
        <v>45789</v>
      </c>
      <c r="D415" s="9">
        <v>45789</v>
      </c>
      <c r="E415" t="s">
        <v>123</v>
      </c>
      <c r="F415" t="s">
        <v>627</v>
      </c>
      <c r="G415">
        <v>24</v>
      </c>
      <c r="H415">
        <v>167.76</v>
      </c>
      <c r="I415" t="s">
        <v>927</v>
      </c>
      <c r="K415" t="b">
        <f>IF(Table1[[#This Row],[dispatch_date]]-Table1[[#This Row],[order_date]] &gt;=0, TRUE, FALSE)</f>
        <v>1</v>
      </c>
    </row>
    <row r="416" spans="1:11" x14ac:dyDescent="0.2">
      <c r="A416" t="s">
        <v>2557</v>
      </c>
      <c r="B416" t="s">
        <v>939</v>
      </c>
      <c r="C416" s="9">
        <v>45789</v>
      </c>
      <c r="D416" s="9">
        <v>45790</v>
      </c>
      <c r="E416" t="s">
        <v>90</v>
      </c>
      <c r="F416" t="s">
        <v>727</v>
      </c>
      <c r="G416">
        <v>48</v>
      </c>
      <c r="H416">
        <v>403.2</v>
      </c>
      <c r="I416" t="s">
        <v>916</v>
      </c>
      <c r="K416" t="b">
        <f>IF(Table1[[#This Row],[dispatch_date]]-Table1[[#This Row],[order_date]] &gt;=0, TRUE, FALSE)</f>
        <v>1</v>
      </c>
    </row>
    <row r="417" spans="1:11" x14ac:dyDescent="0.2">
      <c r="A417" t="s">
        <v>2823</v>
      </c>
      <c r="B417" t="s">
        <v>925</v>
      </c>
      <c r="C417" s="9">
        <v>45789</v>
      </c>
      <c r="D417" s="9">
        <v>45789</v>
      </c>
      <c r="E417" t="s">
        <v>19</v>
      </c>
      <c r="F417" t="s">
        <v>488</v>
      </c>
      <c r="G417">
        <v>24</v>
      </c>
      <c r="H417">
        <v>48.72</v>
      </c>
      <c r="I417" t="s">
        <v>916</v>
      </c>
      <c r="K417" t="b">
        <f>IF(Table1[[#This Row],[dispatch_date]]-Table1[[#This Row],[order_date]] &gt;=0, TRUE, FALSE)</f>
        <v>1</v>
      </c>
    </row>
    <row r="418" spans="1:11" x14ac:dyDescent="0.2">
      <c r="A418" t="s">
        <v>1491</v>
      </c>
      <c r="B418" t="s">
        <v>1080</v>
      </c>
      <c r="C418" s="9">
        <v>45790</v>
      </c>
      <c r="D418" s="9">
        <v>45793</v>
      </c>
      <c r="E418" t="s">
        <v>19</v>
      </c>
      <c r="F418" t="s">
        <v>367</v>
      </c>
      <c r="G418">
        <v>24</v>
      </c>
      <c r="H418">
        <v>48.72</v>
      </c>
      <c r="I418" t="s">
        <v>916</v>
      </c>
      <c r="K418" t="b">
        <f>IF(Table1[[#This Row],[dispatch_date]]-Table1[[#This Row],[order_date]] &gt;=0, TRUE, FALSE)</f>
        <v>1</v>
      </c>
    </row>
    <row r="419" spans="1:11" x14ac:dyDescent="0.2">
      <c r="A419" t="s">
        <v>1716</v>
      </c>
      <c r="B419" t="s">
        <v>962</v>
      </c>
      <c r="C419" s="9">
        <v>45790</v>
      </c>
      <c r="D419" s="9">
        <v>45791</v>
      </c>
      <c r="E419" t="s">
        <v>74</v>
      </c>
      <c r="F419" t="s">
        <v>708</v>
      </c>
      <c r="G419">
        <v>48</v>
      </c>
      <c r="H419">
        <v>103.2</v>
      </c>
      <c r="I419" t="s">
        <v>938</v>
      </c>
      <c r="K419" t="b">
        <f>IF(Table1[[#This Row],[dispatch_date]]-Table1[[#This Row],[order_date]] &gt;=0, TRUE, FALSE)</f>
        <v>1</v>
      </c>
    </row>
    <row r="420" spans="1:11" x14ac:dyDescent="0.2">
      <c r="A420" t="s">
        <v>2037</v>
      </c>
      <c r="B420" t="s">
        <v>960</v>
      </c>
      <c r="C420" s="9">
        <v>45790</v>
      </c>
      <c r="D420" s="9">
        <v>45791</v>
      </c>
      <c r="E420" t="s">
        <v>22</v>
      </c>
      <c r="F420" t="s">
        <v>734</v>
      </c>
      <c r="G420">
        <v>6</v>
      </c>
      <c r="H420">
        <v>29.82</v>
      </c>
      <c r="I420" t="s">
        <v>938</v>
      </c>
      <c r="K420" t="b">
        <f>IF(Table1[[#This Row],[dispatch_date]]-Table1[[#This Row],[order_date]] &gt;=0, TRUE, FALSE)</f>
        <v>1</v>
      </c>
    </row>
    <row r="421" spans="1:11" x14ac:dyDescent="0.2">
      <c r="A421" t="s">
        <v>2374</v>
      </c>
      <c r="B421" t="s">
        <v>985</v>
      </c>
      <c r="C421" s="9">
        <v>45790</v>
      </c>
      <c r="D421" s="9">
        <v>45791</v>
      </c>
      <c r="E421" t="s">
        <v>36</v>
      </c>
      <c r="G421">
        <v>72</v>
      </c>
      <c r="H421">
        <v>123.12</v>
      </c>
      <c r="I421" t="s">
        <v>1079</v>
      </c>
      <c r="K421" t="b">
        <f>IF(Table1[[#This Row],[dispatch_date]]-Table1[[#This Row],[order_date]] &gt;=0, TRUE, FALSE)</f>
        <v>1</v>
      </c>
    </row>
    <row r="422" spans="1:11" x14ac:dyDescent="0.2">
      <c r="A422" t="s">
        <v>1616</v>
      </c>
      <c r="B422" t="s">
        <v>1049</v>
      </c>
      <c r="C422" s="9">
        <v>45791</v>
      </c>
      <c r="D422" s="9"/>
      <c r="E422" t="s">
        <v>8</v>
      </c>
      <c r="F422" t="s">
        <v>825</v>
      </c>
      <c r="G422">
        <v>72</v>
      </c>
      <c r="H422">
        <v>434.16</v>
      </c>
      <c r="I422" t="s">
        <v>938</v>
      </c>
      <c r="K422" t="b">
        <f>IF(Table1[[#This Row],[dispatch_date]]-Table1[[#This Row],[order_date]] &gt;=0, TRUE, FALSE)</f>
        <v>0</v>
      </c>
    </row>
    <row r="423" spans="1:11" x14ac:dyDescent="0.2">
      <c r="A423" t="s">
        <v>1638</v>
      </c>
      <c r="B423" t="s">
        <v>1072</v>
      </c>
      <c r="C423" s="9">
        <v>45791</v>
      </c>
      <c r="D423" s="9">
        <v>45794</v>
      </c>
      <c r="E423" t="s">
        <v>52</v>
      </c>
      <c r="F423" t="s">
        <v>796</v>
      </c>
      <c r="G423">
        <v>6</v>
      </c>
      <c r="H423">
        <v>29.58</v>
      </c>
      <c r="I423" t="s">
        <v>956</v>
      </c>
      <c r="K423" t="b">
        <f>IF(Table1[[#This Row],[dispatch_date]]-Table1[[#This Row],[order_date]] &gt;=0, TRUE, FALSE)</f>
        <v>1</v>
      </c>
    </row>
    <row r="424" spans="1:11" x14ac:dyDescent="0.2">
      <c r="A424" t="s">
        <v>1701</v>
      </c>
      <c r="B424" t="s">
        <v>929</v>
      </c>
      <c r="C424" s="9">
        <v>45791</v>
      </c>
      <c r="D424" s="9">
        <v>45791</v>
      </c>
      <c r="E424" t="s">
        <v>63</v>
      </c>
      <c r="G424">
        <v>24</v>
      </c>
      <c r="H424">
        <v>223.44</v>
      </c>
      <c r="I424" t="s">
        <v>912</v>
      </c>
      <c r="K424" t="b">
        <f>IF(Table1[[#This Row],[dispatch_date]]-Table1[[#This Row],[order_date]] &gt;=0, TRUE, FALSE)</f>
        <v>1</v>
      </c>
    </row>
    <row r="425" spans="1:11" x14ac:dyDescent="0.2">
      <c r="A425" t="s">
        <v>2231</v>
      </c>
      <c r="B425" t="s">
        <v>1006</v>
      </c>
      <c r="C425" s="9">
        <v>45791</v>
      </c>
      <c r="D425" s="9">
        <v>45794</v>
      </c>
      <c r="E425" t="s">
        <v>121</v>
      </c>
      <c r="F425" t="s">
        <v>498</v>
      </c>
      <c r="G425">
        <v>6</v>
      </c>
      <c r="H425">
        <v>77.040000000000006</v>
      </c>
      <c r="I425" t="s">
        <v>912</v>
      </c>
      <c r="K425" t="b">
        <f>IF(Table1[[#This Row],[dispatch_date]]-Table1[[#This Row],[order_date]] &gt;=0, TRUE, FALSE)</f>
        <v>1</v>
      </c>
    </row>
    <row r="426" spans="1:11" x14ac:dyDescent="0.2">
      <c r="A426" t="s">
        <v>2272</v>
      </c>
      <c r="B426" t="s">
        <v>1045</v>
      </c>
      <c r="C426" s="9">
        <v>45791</v>
      </c>
      <c r="D426" s="9">
        <v>45794</v>
      </c>
      <c r="E426" t="s">
        <v>54</v>
      </c>
      <c r="F426" t="s">
        <v>241</v>
      </c>
      <c r="G426">
        <v>6</v>
      </c>
      <c r="H426">
        <v>25.25</v>
      </c>
      <c r="I426" t="s">
        <v>912</v>
      </c>
      <c r="K426" t="b">
        <f>IF(Table1[[#This Row],[dispatch_date]]-Table1[[#This Row],[order_date]] &gt;=0, TRUE, FALSE)</f>
        <v>1</v>
      </c>
    </row>
    <row r="427" spans="1:11" x14ac:dyDescent="0.2">
      <c r="A427" t="s">
        <v>1361</v>
      </c>
      <c r="B427" t="s">
        <v>1031</v>
      </c>
      <c r="C427" s="9">
        <v>45792</v>
      </c>
      <c r="D427" s="9"/>
      <c r="E427" t="s">
        <v>38</v>
      </c>
      <c r="F427" t="s">
        <v>889</v>
      </c>
      <c r="G427">
        <v>48</v>
      </c>
      <c r="H427">
        <v>244.8</v>
      </c>
      <c r="I427" t="s">
        <v>956</v>
      </c>
      <c r="K427" t="b">
        <f>IF(Table1[[#This Row],[dispatch_date]]-Table1[[#This Row],[order_date]] &gt;=0, TRUE, FALSE)</f>
        <v>0</v>
      </c>
    </row>
    <row r="428" spans="1:11" x14ac:dyDescent="0.2">
      <c r="A428" t="s">
        <v>1463</v>
      </c>
      <c r="B428" t="s">
        <v>1061</v>
      </c>
      <c r="C428" s="9">
        <v>45792</v>
      </c>
      <c r="D428" s="9">
        <v>45794</v>
      </c>
      <c r="E428" t="s">
        <v>103</v>
      </c>
      <c r="G428">
        <v>48</v>
      </c>
      <c r="H428">
        <v>328.78</v>
      </c>
      <c r="I428" t="s">
        <v>938</v>
      </c>
      <c r="K428" t="b">
        <f>IF(Table1[[#This Row],[dispatch_date]]-Table1[[#This Row],[order_date]] &gt;=0, TRUE, FALSE)</f>
        <v>1</v>
      </c>
    </row>
    <row r="429" spans="1:11" x14ac:dyDescent="0.2">
      <c r="A429" t="s">
        <v>1779</v>
      </c>
      <c r="B429" t="s">
        <v>906</v>
      </c>
      <c r="C429" s="9">
        <v>45792</v>
      </c>
      <c r="D429" s="9">
        <v>45794</v>
      </c>
      <c r="E429" t="s">
        <v>129</v>
      </c>
      <c r="F429" t="s">
        <v>406</v>
      </c>
      <c r="G429">
        <v>36</v>
      </c>
      <c r="H429">
        <v>162.44999999999999</v>
      </c>
      <c r="I429" t="s">
        <v>938</v>
      </c>
      <c r="K429" t="b">
        <f>IF(Table1[[#This Row],[dispatch_date]]-Table1[[#This Row],[order_date]] &gt;=0, TRUE, FALSE)</f>
        <v>1</v>
      </c>
    </row>
    <row r="430" spans="1:11" x14ac:dyDescent="0.2">
      <c r="A430" t="s">
        <v>1879</v>
      </c>
      <c r="B430" t="s">
        <v>987</v>
      </c>
      <c r="C430" s="9">
        <v>45792</v>
      </c>
      <c r="D430" s="9">
        <v>45795</v>
      </c>
      <c r="E430" t="s">
        <v>19</v>
      </c>
      <c r="F430" t="s">
        <v>664</v>
      </c>
      <c r="G430">
        <v>24</v>
      </c>
      <c r="H430">
        <v>46.28</v>
      </c>
      <c r="I430" t="s">
        <v>1079</v>
      </c>
      <c r="K430" t="b">
        <f>IF(Table1[[#This Row],[dispatch_date]]-Table1[[#This Row],[order_date]] &gt;=0, TRUE, FALSE)</f>
        <v>1</v>
      </c>
    </row>
    <row r="431" spans="1:11" x14ac:dyDescent="0.2">
      <c r="A431" t="s">
        <v>1953</v>
      </c>
      <c r="B431" t="s">
        <v>936</v>
      </c>
      <c r="C431" s="9">
        <v>45792</v>
      </c>
      <c r="D431" s="9">
        <v>45795</v>
      </c>
      <c r="E431" t="s">
        <v>99</v>
      </c>
      <c r="G431">
        <v>36</v>
      </c>
      <c r="H431">
        <v>266.04000000000002</v>
      </c>
      <c r="I431" t="s">
        <v>1079</v>
      </c>
      <c r="K431" t="b">
        <f>IF(Table1[[#This Row],[dispatch_date]]-Table1[[#This Row],[order_date]] &gt;=0, TRUE, FALSE)</f>
        <v>1</v>
      </c>
    </row>
    <row r="432" spans="1:11" x14ac:dyDescent="0.2">
      <c r="A432" t="s">
        <v>2122</v>
      </c>
      <c r="B432" t="s">
        <v>973</v>
      </c>
      <c r="C432" s="9">
        <v>45792</v>
      </c>
      <c r="D432" s="9">
        <v>45793</v>
      </c>
      <c r="E432" t="s">
        <v>82</v>
      </c>
      <c r="G432">
        <v>6</v>
      </c>
      <c r="H432">
        <v>11.82</v>
      </c>
      <c r="I432" t="s">
        <v>1079</v>
      </c>
      <c r="K432" t="b">
        <f>IF(Table1[[#This Row],[dispatch_date]]-Table1[[#This Row],[order_date]] &gt;=0, TRUE, FALSE)</f>
        <v>1</v>
      </c>
    </row>
    <row r="433" spans="1:11" x14ac:dyDescent="0.2">
      <c r="A433" t="s">
        <v>2712</v>
      </c>
      <c r="B433" t="s">
        <v>987</v>
      </c>
      <c r="C433" s="9">
        <v>45792</v>
      </c>
      <c r="D433" s="9">
        <v>45795</v>
      </c>
      <c r="E433" t="s">
        <v>90</v>
      </c>
      <c r="F433" t="s">
        <v>553</v>
      </c>
      <c r="G433">
        <v>36</v>
      </c>
      <c r="H433">
        <v>302.39999999999998</v>
      </c>
      <c r="I433" t="s">
        <v>1079</v>
      </c>
      <c r="K433" t="b">
        <f>IF(Table1[[#This Row],[dispatch_date]]-Table1[[#This Row],[order_date]] &gt;=0, TRUE, FALSE)</f>
        <v>1</v>
      </c>
    </row>
    <row r="434" spans="1:11" x14ac:dyDescent="0.2">
      <c r="A434" t="s">
        <v>1721</v>
      </c>
      <c r="B434" t="s">
        <v>1072</v>
      </c>
      <c r="C434" s="9">
        <v>45793</v>
      </c>
      <c r="D434" s="9">
        <v>45793</v>
      </c>
      <c r="E434" t="s">
        <v>63</v>
      </c>
      <c r="F434" t="s">
        <v>844</v>
      </c>
      <c r="G434">
        <v>72</v>
      </c>
      <c r="H434">
        <v>705.6</v>
      </c>
      <c r="I434" t="s">
        <v>956</v>
      </c>
      <c r="K434" t="b">
        <f>IF(Table1[[#This Row],[dispatch_date]]-Table1[[#This Row],[order_date]] &gt;=0, TRUE, FALSE)</f>
        <v>1</v>
      </c>
    </row>
    <row r="435" spans="1:11" x14ac:dyDescent="0.2">
      <c r="A435" t="s">
        <v>1818</v>
      </c>
      <c r="B435" t="s">
        <v>1067</v>
      </c>
      <c r="C435" s="9">
        <v>45793</v>
      </c>
      <c r="D435" s="9">
        <v>45793</v>
      </c>
      <c r="E435" t="s">
        <v>114</v>
      </c>
      <c r="F435" t="s">
        <v>706</v>
      </c>
      <c r="G435">
        <v>48</v>
      </c>
      <c r="H435">
        <v>237.6</v>
      </c>
      <c r="I435" t="s">
        <v>956</v>
      </c>
      <c r="K435" t="b">
        <f>IF(Table1[[#This Row],[dispatch_date]]-Table1[[#This Row],[order_date]] &gt;=0, TRUE, FALSE)</f>
        <v>1</v>
      </c>
    </row>
    <row r="436" spans="1:11" x14ac:dyDescent="0.2">
      <c r="A436" t="s">
        <v>2400</v>
      </c>
      <c r="B436" t="s">
        <v>922</v>
      </c>
      <c r="C436" s="9">
        <v>45794</v>
      </c>
      <c r="D436" s="9"/>
      <c r="E436" t="s">
        <v>127</v>
      </c>
      <c r="F436" t="s">
        <v>305</v>
      </c>
      <c r="G436">
        <v>6</v>
      </c>
      <c r="H436">
        <v>23.37</v>
      </c>
      <c r="I436" t="s">
        <v>916</v>
      </c>
      <c r="K436" t="b">
        <f>IF(Table1[[#This Row],[dispatch_date]]-Table1[[#This Row],[order_date]] &gt;=0, TRUE, FALSE)</f>
        <v>0</v>
      </c>
    </row>
    <row r="437" spans="1:11" x14ac:dyDescent="0.2">
      <c r="A437" t="s">
        <v>2723</v>
      </c>
      <c r="B437" t="s">
        <v>968</v>
      </c>
      <c r="C437" s="9">
        <v>45794</v>
      </c>
      <c r="D437" s="9">
        <v>45797</v>
      </c>
      <c r="E437" t="s">
        <v>129</v>
      </c>
      <c r="F437" t="s">
        <v>725</v>
      </c>
      <c r="G437">
        <v>12</v>
      </c>
      <c r="H437">
        <v>57</v>
      </c>
      <c r="I437" t="s">
        <v>938</v>
      </c>
      <c r="K437" t="b">
        <f>IF(Table1[[#This Row],[dispatch_date]]-Table1[[#This Row],[order_date]] &gt;=0, TRUE, FALSE)</f>
        <v>1</v>
      </c>
    </row>
    <row r="438" spans="1:11" x14ac:dyDescent="0.2">
      <c r="A438" t="s">
        <v>2295</v>
      </c>
      <c r="B438" t="s">
        <v>991</v>
      </c>
      <c r="C438" s="9">
        <v>45795</v>
      </c>
      <c r="D438" s="9">
        <v>45798</v>
      </c>
      <c r="E438" t="s">
        <v>28</v>
      </c>
      <c r="F438" t="s">
        <v>788</v>
      </c>
      <c r="G438">
        <v>6</v>
      </c>
      <c r="H438">
        <v>34.44</v>
      </c>
      <c r="I438" t="s">
        <v>956</v>
      </c>
      <c r="K438" t="b">
        <f>IF(Table1[[#This Row],[dispatch_date]]-Table1[[#This Row],[order_date]] &gt;=0, TRUE, FALSE)</f>
        <v>1</v>
      </c>
    </row>
    <row r="439" spans="1:11" x14ac:dyDescent="0.2">
      <c r="A439" t="s">
        <v>2580</v>
      </c>
      <c r="B439" t="s">
        <v>948</v>
      </c>
      <c r="C439" s="9">
        <v>45795</v>
      </c>
      <c r="D439" s="9">
        <v>45796</v>
      </c>
      <c r="E439" t="s">
        <v>129</v>
      </c>
      <c r="F439" t="s">
        <v>660</v>
      </c>
      <c r="G439">
        <v>24</v>
      </c>
      <c r="H439">
        <v>114</v>
      </c>
      <c r="I439" t="s">
        <v>938</v>
      </c>
      <c r="K439" t="b">
        <f>IF(Table1[[#This Row],[dispatch_date]]-Table1[[#This Row],[order_date]] &gt;=0, TRUE, FALSE)</f>
        <v>1</v>
      </c>
    </row>
    <row r="440" spans="1:11" x14ac:dyDescent="0.2">
      <c r="A440" t="s">
        <v>2859</v>
      </c>
      <c r="B440" t="s">
        <v>996</v>
      </c>
      <c r="C440" s="9">
        <v>45795</v>
      </c>
      <c r="D440" s="9"/>
      <c r="E440" t="s">
        <v>97</v>
      </c>
      <c r="F440" t="s">
        <v>800</v>
      </c>
      <c r="G440">
        <v>72</v>
      </c>
      <c r="H440">
        <v>387.36</v>
      </c>
      <c r="I440" t="s">
        <v>956</v>
      </c>
      <c r="K440" t="b">
        <f>IF(Table1[[#This Row],[dispatch_date]]-Table1[[#This Row],[order_date]] &gt;=0, TRUE, FALSE)</f>
        <v>0</v>
      </c>
    </row>
    <row r="441" spans="1:11" x14ac:dyDescent="0.2">
      <c r="A441" t="s">
        <v>1213</v>
      </c>
      <c r="B441" t="s">
        <v>1040</v>
      </c>
      <c r="C441" s="9">
        <v>45796</v>
      </c>
      <c r="D441" s="9">
        <v>45796</v>
      </c>
      <c r="E441" t="s">
        <v>8</v>
      </c>
      <c r="F441" t="s">
        <v>656</v>
      </c>
      <c r="G441">
        <v>12</v>
      </c>
      <c r="H441">
        <v>72.36</v>
      </c>
      <c r="I441" t="s">
        <v>916</v>
      </c>
      <c r="K441" t="b">
        <f>IF(Table1[[#This Row],[dispatch_date]]-Table1[[#This Row],[order_date]] &gt;=0, TRUE, FALSE)</f>
        <v>1</v>
      </c>
    </row>
    <row r="442" spans="1:11" x14ac:dyDescent="0.2">
      <c r="A442" t="s">
        <v>2862</v>
      </c>
      <c r="B442" t="s">
        <v>983</v>
      </c>
      <c r="C442" s="9">
        <v>45796</v>
      </c>
      <c r="D442" s="9">
        <v>45796</v>
      </c>
      <c r="E442" t="s">
        <v>82</v>
      </c>
      <c r="F442" t="s">
        <v>346</v>
      </c>
      <c r="G442">
        <v>24</v>
      </c>
      <c r="H442">
        <v>47.28</v>
      </c>
      <c r="I442" t="s">
        <v>916</v>
      </c>
      <c r="K442" t="b">
        <f>IF(Table1[[#This Row],[dispatch_date]]-Table1[[#This Row],[order_date]] &gt;=0, TRUE, FALSE)</f>
        <v>1</v>
      </c>
    </row>
    <row r="443" spans="1:11" x14ac:dyDescent="0.2">
      <c r="A443" t="s">
        <v>1564</v>
      </c>
      <c r="B443" t="s">
        <v>1024</v>
      </c>
      <c r="C443" s="9">
        <v>45797</v>
      </c>
      <c r="D443" s="9">
        <v>45799</v>
      </c>
      <c r="E443" t="s">
        <v>97</v>
      </c>
      <c r="F443" t="s">
        <v>191</v>
      </c>
      <c r="G443">
        <v>24</v>
      </c>
      <c r="H443">
        <v>122.66</v>
      </c>
      <c r="I443" t="s">
        <v>938</v>
      </c>
      <c r="K443" t="b">
        <f>IF(Table1[[#This Row],[dispatch_date]]-Table1[[#This Row],[order_date]] &gt;=0, TRUE, FALSE)</f>
        <v>1</v>
      </c>
    </row>
    <row r="444" spans="1:11" x14ac:dyDescent="0.2">
      <c r="A444" t="s">
        <v>2282</v>
      </c>
      <c r="B444" t="s">
        <v>965</v>
      </c>
      <c r="C444" s="9">
        <v>45797</v>
      </c>
      <c r="D444" s="9">
        <v>45798</v>
      </c>
      <c r="E444" t="s">
        <v>90</v>
      </c>
      <c r="F444" t="s">
        <v>727</v>
      </c>
      <c r="G444">
        <v>36</v>
      </c>
      <c r="H444">
        <v>287.27999999999997</v>
      </c>
      <c r="I444" t="s">
        <v>956</v>
      </c>
      <c r="K444" t="b">
        <f>IF(Table1[[#This Row],[dispatch_date]]-Table1[[#This Row],[order_date]] &gt;=0, TRUE, FALSE)</f>
        <v>1</v>
      </c>
    </row>
    <row r="445" spans="1:11" x14ac:dyDescent="0.2">
      <c r="A445" t="s">
        <v>1193</v>
      </c>
      <c r="B445" t="s">
        <v>1067</v>
      </c>
      <c r="C445" s="9">
        <v>45798</v>
      </c>
      <c r="D445" s="9">
        <v>45799</v>
      </c>
      <c r="E445" t="s">
        <v>114</v>
      </c>
      <c r="F445" t="s">
        <v>654</v>
      </c>
      <c r="G445">
        <v>48</v>
      </c>
      <c r="H445">
        <v>237.6</v>
      </c>
      <c r="I445" t="s">
        <v>956</v>
      </c>
      <c r="K445" t="b">
        <f>IF(Table1[[#This Row],[dispatch_date]]-Table1[[#This Row],[order_date]] &gt;=0, TRUE, FALSE)</f>
        <v>1</v>
      </c>
    </row>
    <row r="446" spans="1:11" x14ac:dyDescent="0.2">
      <c r="A446" t="s">
        <v>1276</v>
      </c>
      <c r="B446" t="s">
        <v>932</v>
      </c>
      <c r="C446" s="9">
        <v>45798</v>
      </c>
      <c r="D446" s="9">
        <v>45799</v>
      </c>
      <c r="E446" t="s">
        <v>118</v>
      </c>
      <c r="F446" t="s">
        <v>288</v>
      </c>
      <c r="G446">
        <v>12</v>
      </c>
      <c r="H446">
        <v>157.68</v>
      </c>
      <c r="I446" t="s">
        <v>956</v>
      </c>
      <c r="K446" t="b">
        <f>IF(Table1[[#This Row],[dispatch_date]]-Table1[[#This Row],[order_date]] &gt;=0, TRUE, FALSE)</f>
        <v>1</v>
      </c>
    </row>
    <row r="447" spans="1:11" x14ac:dyDescent="0.2">
      <c r="A447" t="s">
        <v>1283</v>
      </c>
      <c r="B447" t="s">
        <v>945</v>
      </c>
      <c r="C447" s="9">
        <v>45798</v>
      </c>
      <c r="D447" s="9">
        <v>45798</v>
      </c>
      <c r="E447" t="s">
        <v>48</v>
      </c>
      <c r="F447" t="s">
        <v>624</v>
      </c>
      <c r="G447">
        <v>24</v>
      </c>
      <c r="H447">
        <v>161.76</v>
      </c>
      <c r="I447" t="s">
        <v>938</v>
      </c>
      <c r="K447" t="b">
        <f>IF(Table1[[#This Row],[dispatch_date]]-Table1[[#This Row],[order_date]] &gt;=0, TRUE, FALSE)</f>
        <v>1</v>
      </c>
    </row>
    <row r="448" spans="1:11" x14ac:dyDescent="0.2">
      <c r="A448" t="s">
        <v>2285</v>
      </c>
      <c r="B448" t="s">
        <v>993</v>
      </c>
      <c r="C448" s="9">
        <v>45798</v>
      </c>
      <c r="D448" s="9">
        <v>45801</v>
      </c>
      <c r="E448" t="s">
        <v>30</v>
      </c>
      <c r="F448" t="s">
        <v>255</v>
      </c>
      <c r="G448">
        <v>72</v>
      </c>
      <c r="H448">
        <v>172.8</v>
      </c>
      <c r="I448" t="s">
        <v>938</v>
      </c>
      <c r="K448" t="b">
        <f>IF(Table1[[#This Row],[dispatch_date]]-Table1[[#This Row],[order_date]] &gt;=0, TRUE, FALSE)</f>
        <v>1</v>
      </c>
    </row>
    <row r="449" spans="1:11" x14ac:dyDescent="0.2">
      <c r="A449" t="s">
        <v>2669</v>
      </c>
      <c r="B449" t="s">
        <v>981</v>
      </c>
      <c r="C449" s="9">
        <v>45798</v>
      </c>
      <c r="D449" s="9"/>
      <c r="E449" t="s">
        <v>78</v>
      </c>
      <c r="G449">
        <v>24</v>
      </c>
      <c r="H449">
        <v>76.8</v>
      </c>
      <c r="I449" t="s">
        <v>916</v>
      </c>
      <c r="K449" t="b">
        <f>IF(Table1[[#This Row],[dispatch_date]]-Table1[[#This Row],[order_date]] &gt;=0, TRUE, FALSE)</f>
        <v>0</v>
      </c>
    </row>
    <row r="450" spans="1:11" x14ac:dyDescent="0.2">
      <c r="A450" t="s">
        <v>1526</v>
      </c>
      <c r="B450" t="s">
        <v>951</v>
      </c>
      <c r="C450" s="9">
        <v>45799</v>
      </c>
      <c r="D450" s="9">
        <v>45802</v>
      </c>
      <c r="E450" t="s">
        <v>56</v>
      </c>
      <c r="G450">
        <v>24</v>
      </c>
      <c r="H450">
        <v>141.12</v>
      </c>
      <c r="I450" t="s">
        <v>956</v>
      </c>
      <c r="K450" t="b">
        <f>IF(Table1[[#This Row],[dispatch_date]]-Table1[[#This Row],[order_date]] &gt;=0, TRUE, FALSE)</f>
        <v>1</v>
      </c>
    </row>
    <row r="451" spans="1:11" x14ac:dyDescent="0.2">
      <c r="A451" t="s">
        <v>1223</v>
      </c>
      <c r="B451" t="s">
        <v>987</v>
      </c>
      <c r="C451" s="9">
        <v>45800</v>
      </c>
      <c r="D451" s="9">
        <v>45801</v>
      </c>
      <c r="E451" t="s">
        <v>30</v>
      </c>
      <c r="F451" t="s">
        <v>697</v>
      </c>
      <c r="G451">
        <v>24</v>
      </c>
      <c r="H451">
        <v>57.6</v>
      </c>
      <c r="I451" t="s">
        <v>1079</v>
      </c>
      <c r="K451" t="b">
        <f>IF(Table1[[#This Row],[dispatch_date]]-Table1[[#This Row],[order_date]] &gt;=0, TRUE, FALSE)</f>
        <v>1</v>
      </c>
    </row>
    <row r="452" spans="1:11" x14ac:dyDescent="0.2">
      <c r="A452" t="s">
        <v>1297</v>
      </c>
      <c r="B452" t="s">
        <v>991</v>
      </c>
      <c r="C452" s="9">
        <v>45801</v>
      </c>
      <c r="D452" s="9">
        <v>45803</v>
      </c>
      <c r="E452" t="s">
        <v>125</v>
      </c>
      <c r="F452" t="s">
        <v>780</v>
      </c>
      <c r="G452">
        <v>6</v>
      </c>
      <c r="H452">
        <v>45.78</v>
      </c>
      <c r="I452" t="s">
        <v>956</v>
      </c>
      <c r="K452" t="b">
        <f>IF(Table1[[#This Row],[dispatch_date]]-Table1[[#This Row],[order_date]] &gt;=0, TRUE, FALSE)</f>
        <v>1</v>
      </c>
    </row>
    <row r="453" spans="1:11" x14ac:dyDescent="0.2">
      <c r="A453" t="s">
        <v>1723</v>
      </c>
      <c r="B453" t="s">
        <v>948</v>
      </c>
      <c r="C453" s="9">
        <v>45801</v>
      </c>
      <c r="D453" s="9">
        <v>45801</v>
      </c>
      <c r="E453" t="s">
        <v>65</v>
      </c>
      <c r="F453" t="s">
        <v>464</v>
      </c>
      <c r="G453">
        <v>48</v>
      </c>
      <c r="H453">
        <v>636.96</v>
      </c>
      <c r="I453" t="s">
        <v>938</v>
      </c>
      <c r="K453" t="b">
        <f>IF(Table1[[#This Row],[dispatch_date]]-Table1[[#This Row],[order_date]] &gt;=0, TRUE, FALSE)</f>
        <v>1</v>
      </c>
    </row>
    <row r="454" spans="1:11" x14ac:dyDescent="0.2">
      <c r="A454" t="s">
        <v>1226</v>
      </c>
      <c r="B454" t="s">
        <v>958</v>
      </c>
      <c r="C454" s="9">
        <v>45802</v>
      </c>
      <c r="D454" s="9">
        <v>45803</v>
      </c>
      <c r="E454" t="s">
        <v>65</v>
      </c>
      <c r="F454" t="s">
        <v>244</v>
      </c>
      <c r="G454">
        <v>24</v>
      </c>
      <c r="H454">
        <v>318.48</v>
      </c>
      <c r="I454" t="s">
        <v>956</v>
      </c>
      <c r="K454" t="b">
        <f>IF(Table1[[#This Row],[dispatch_date]]-Table1[[#This Row],[order_date]] &gt;=0, TRUE, FALSE)</f>
        <v>1</v>
      </c>
    </row>
    <row r="455" spans="1:11" x14ac:dyDescent="0.2">
      <c r="A455" t="s">
        <v>1441</v>
      </c>
      <c r="B455" t="s">
        <v>1013</v>
      </c>
      <c r="C455" s="9">
        <v>45802</v>
      </c>
      <c r="D455" s="9">
        <v>45802</v>
      </c>
      <c r="E455" t="s">
        <v>36</v>
      </c>
      <c r="F455" t="s">
        <v>587</v>
      </c>
      <c r="G455">
        <v>24</v>
      </c>
      <c r="H455">
        <v>41.04</v>
      </c>
      <c r="I455" t="s">
        <v>956</v>
      </c>
      <c r="K455" t="b">
        <f>IF(Table1[[#This Row],[dispatch_date]]-Table1[[#This Row],[order_date]] &gt;=0, TRUE, FALSE)</f>
        <v>1</v>
      </c>
    </row>
    <row r="456" spans="1:11" x14ac:dyDescent="0.2">
      <c r="A456" t="s">
        <v>2249</v>
      </c>
      <c r="B456" t="s">
        <v>1069</v>
      </c>
      <c r="C456" s="9">
        <v>45802</v>
      </c>
      <c r="D456" s="9">
        <v>45802</v>
      </c>
      <c r="E456" t="s">
        <v>28</v>
      </c>
      <c r="F456" t="s">
        <v>329</v>
      </c>
      <c r="G456">
        <v>24</v>
      </c>
      <c r="H456">
        <v>137.76</v>
      </c>
      <c r="I456" t="s">
        <v>956</v>
      </c>
      <c r="K456" t="b">
        <f>IF(Table1[[#This Row],[dispatch_date]]-Table1[[#This Row],[order_date]] &gt;=0, TRUE, FALSE)</f>
        <v>1</v>
      </c>
    </row>
    <row r="457" spans="1:11" x14ac:dyDescent="0.2">
      <c r="A457" t="s">
        <v>1389</v>
      </c>
      <c r="B457" t="s">
        <v>1080</v>
      </c>
      <c r="C457" s="9">
        <v>45803</v>
      </c>
      <c r="D457" s="9">
        <v>45803</v>
      </c>
      <c r="E457" t="s">
        <v>108</v>
      </c>
      <c r="F457" t="s">
        <v>564</v>
      </c>
      <c r="G457">
        <v>72</v>
      </c>
      <c r="H457">
        <v>514.08000000000004</v>
      </c>
      <c r="I457" t="s">
        <v>916</v>
      </c>
      <c r="K457" t="b">
        <f>IF(Table1[[#This Row],[dispatch_date]]-Table1[[#This Row],[order_date]] &gt;=0, TRUE, FALSE)</f>
        <v>1</v>
      </c>
    </row>
    <row r="458" spans="1:11" x14ac:dyDescent="0.2">
      <c r="A458" t="s">
        <v>1989</v>
      </c>
      <c r="B458" t="s">
        <v>1048</v>
      </c>
      <c r="C458" s="9">
        <v>45803</v>
      </c>
      <c r="D458" s="9">
        <v>45805</v>
      </c>
      <c r="E458" t="s">
        <v>19</v>
      </c>
      <c r="F458" t="s">
        <v>488</v>
      </c>
      <c r="G458">
        <v>36</v>
      </c>
      <c r="H458">
        <v>73.08</v>
      </c>
      <c r="I458" t="s">
        <v>912</v>
      </c>
      <c r="K458" t="b">
        <f>IF(Table1[[#This Row],[dispatch_date]]-Table1[[#This Row],[order_date]] &gt;=0, TRUE, FALSE)</f>
        <v>1</v>
      </c>
    </row>
    <row r="459" spans="1:11" x14ac:dyDescent="0.2">
      <c r="A459" t="s">
        <v>1147</v>
      </c>
      <c r="B459" t="s">
        <v>1060</v>
      </c>
      <c r="C459" s="9">
        <v>45804</v>
      </c>
      <c r="D459" s="9">
        <v>45806</v>
      </c>
      <c r="E459" t="s">
        <v>58</v>
      </c>
      <c r="F459" t="s">
        <v>505</v>
      </c>
      <c r="G459">
        <v>24</v>
      </c>
      <c r="H459">
        <v>151.19999999999999</v>
      </c>
      <c r="I459" t="s">
        <v>956</v>
      </c>
      <c r="K459" t="b">
        <f>IF(Table1[[#This Row],[dispatch_date]]-Table1[[#This Row],[order_date]] &gt;=0, TRUE, FALSE)</f>
        <v>1</v>
      </c>
    </row>
    <row r="460" spans="1:11" x14ac:dyDescent="0.2">
      <c r="A460" t="s">
        <v>1317</v>
      </c>
      <c r="B460" t="s">
        <v>918</v>
      </c>
      <c r="C460" s="9">
        <v>45804</v>
      </c>
      <c r="D460" s="9">
        <v>45807</v>
      </c>
      <c r="E460" t="s">
        <v>78</v>
      </c>
      <c r="F460" t="s">
        <v>273</v>
      </c>
      <c r="G460">
        <v>36</v>
      </c>
      <c r="H460">
        <v>115.2</v>
      </c>
      <c r="I460" t="s">
        <v>912</v>
      </c>
      <c r="K460" t="b">
        <f>IF(Table1[[#This Row],[dispatch_date]]-Table1[[#This Row],[order_date]] &gt;=0, TRUE, FALSE)</f>
        <v>1</v>
      </c>
    </row>
    <row r="461" spans="1:11" x14ac:dyDescent="0.2">
      <c r="A461" t="s">
        <v>1359</v>
      </c>
      <c r="B461" t="s">
        <v>1077</v>
      </c>
      <c r="C461" s="9">
        <v>45804</v>
      </c>
      <c r="D461" s="9">
        <v>45807</v>
      </c>
      <c r="E461" t="s">
        <v>114</v>
      </c>
      <c r="F461" t="s">
        <v>654</v>
      </c>
      <c r="G461">
        <v>6</v>
      </c>
      <c r="H461">
        <v>28.21</v>
      </c>
      <c r="I461" t="s">
        <v>1079</v>
      </c>
      <c r="K461" t="b">
        <f>IF(Table1[[#This Row],[dispatch_date]]-Table1[[#This Row],[order_date]] &gt;=0, TRUE, FALSE)</f>
        <v>1</v>
      </c>
    </row>
    <row r="462" spans="1:11" x14ac:dyDescent="0.2">
      <c r="A462" t="s">
        <v>2001</v>
      </c>
      <c r="B462" t="s">
        <v>1059</v>
      </c>
      <c r="C462" s="9">
        <v>45804</v>
      </c>
      <c r="D462" s="9">
        <v>45806</v>
      </c>
      <c r="E462" t="s">
        <v>112</v>
      </c>
      <c r="F462" t="s">
        <v>677</v>
      </c>
      <c r="G462">
        <v>6</v>
      </c>
      <c r="H462">
        <v>36.06</v>
      </c>
      <c r="I462" t="s">
        <v>956</v>
      </c>
      <c r="K462" t="b">
        <f>IF(Table1[[#This Row],[dispatch_date]]-Table1[[#This Row],[order_date]] &gt;=0, TRUE, FALSE)</f>
        <v>1</v>
      </c>
    </row>
    <row r="463" spans="1:11" x14ac:dyDescent="0.2">
      <c r="A463" t="s">
        <v>2021</v>
      </c>
      <c r="B463" t="s">
        <v>996</v>
      </c>
      <c r="C463" s="9">
        <v>45804</v>
      </c>
      <c r="D463" s="9">
        <v>45804</v>
      </c>
      <c r="E463" t="s">
        <v>36</v>
      </c>
      <c r="F463" t="s">
        <v>220</v>
      </c>
      <c r="G463">
        <v>24</v>
      </c>
      <c r="H463">
        <v>41.04</v>
      </c>
      <c r="I463" t="s">
        <v>956</v>
      </c>
      <c r="K463" t="b">
        <f>IF(Table1[[#This Row],[dispatch_date]]-Table1[[#This Row],[order_date]] &gt;=0, TRUE, FALSE)</f>
        <v>1</v>
      </c>
    </row>
    <row r="464" spans="1:11" x14ac:dyDescent="0.2">
      <c r="A464" t="s">
        <v>1495</v>
      </c>
      <c r="B464" t="s">
        <v>1034</v>
      </c>
      <c r="C464" s="9">
        <v>45805</v>
      </c>
      <c r="D464" s="9">
        <v>45808</v>
      </c>
      <c r="E464" t="s">
        <v>71</v>
      </c>
      <c r="G464">
        <v>48</v>
      </c>
      <c r="H464">
        <v>456.48</v>
      </c>
      <c r="I464" t="s">
        <v>938</v>
      </c>
      <c r="K464" t="b">
        <f>IF(Table1[[#This Row],[dispatch_date]]-Table1[[#This Row],[order_date]] &gt;=0, TRUE, FALSE)</f>
        <v>1</v>
      </c>
    </row>
    <row r="465" spans="1:11" x14ac:dyDescent="0.2">
      <c r="A465" t="s">
        <v>2017</v>
      </c>
      <c r="B465" t="s">
        <v>1001</v>
      </c>
      <c r="C465" s="9">
        <v>45805</v>
      </c>
      <c r="D465" s="9">
        <v>45805</v>
      </c>
      <c r="E465" t="s">
        <v>78</v>
      </c>
      <c r="F465" t="s">
        <v>273</v>
      </c>
      <c r="G465">
        <v>36</v>
      </c>
      <c r="H465">
        <v>109.44</v>
      </c>
      <c r="I465" t="s">
        <v>916</v>
      </c>
      <c r="K465" t="b">
        <f>IF(Table1[[#This Row],[dispatch_date]]-Table1[[#This Row],[order_date]] &gt;=0, TRUE, FALSE)</f>
        <v>1</v>
      </c>
    </row>
    <row r="466" spans="1:11" x14ac:dyDescent="0.2">
      <c r="A466" t="s">
        <v>2422</v>
      </c>
      <c r="B466" t="s">
        <v>1042</v>
      </c>
      <c r="C466" s="9">
        <v>45805</v>
      </c>
      <c r="D466" s="9">
        <v>45805</v>
      </c>
      <c r="E466" t="s">
        <v>105</v>
      </c>
      <c r="F466" t="s">
        <v>559</v>
      </c>
      <c r="G466">
        <v>48</v>
      </c>
      <c r="H466">
        <v>285.60000000000002</v>
      </c>
      <c r="I466" t="s">
        <v>1079</v>
      </c>
      <c r="K466" t="b">
        <f>IF(Table1[[#This Row],[dispatch_date]]-Table1[[#This Row],[order_date]] &gt;=0, TRUE, FALSE)</f>
        <v>1</v>
      </c>
    </row>
    <row r="467" spans="1:11" x14ac:dyDescent="0.2">
      <c r="A467" t="s">
        <v>1651</v>
      </c>
      <c r="B467" t="s">
        <v>914</v>
      </c>
      <c r="C467" s="9">
        <v>45806</v>
      </c>
      <c r="D467" s="9">
        <v>45806</v>
      </c>
      <c r="E467" t="s">
        <v>110</v>
      </c>
      <c r="G467">
        <v>12</v>
      </c>
      <c r="H467">
        <v>39.24</v>
      </c>
      <c r="I467" t="s">
        <v>916</v>
      </c>
      <c r="K467" t="b">
        <f>IF(Table1[[#This Row],[dispatch_date]]-Table1[[#This Row],[order_date]] &gt;=0, TRUE, FALSE)</f>
        <v>1</v>
      </c>
    </row>
    <row r="468" spans="1:11" x14ac:dyDescent="0.2">
      <c r="A468" t="s">
        <v>2301</v>
      </c>
      <c r="B468" t="s">
        <v>945</v>
      </c>
      <c r="C468" s="9">
        <v>45806</v>
      </c>
      <c r="D468" s="9">
        <v>45809</v>
      </c>
      <c r="E468" t="s">
        <v>125</v>
      </c>
      <c r="F468" t="s">
        <v>736</v>
      </c>
      <c r="G468">
        <v>48</v>
      </c>
      <c r="H468">
        <v>366.24</v>
      </c>
      <c r="I468" t="s">
        <v>938</v>
      </c>
      <c r="K468" t="b">
        <f>IF(Table1[[#This Row],[dispatch_date]]-Table1[[#This Row],[order_date]] &gt;=0, TRUE, FALSE)</f>
        <v>1</v>
      </c>
    </row>
    <row r="469" spans="1:11" x14ac:dyDescent="0.2">
      <c r="A469" t="s">
        <v>2103</v>
      </c>
      <c r="B469" t="s">
        <v>1006</v>
      </c>
      <c r="C469" s="9">
        <v>45807</v>
      </c>
      <c r="D469" s="9">
        <v>45808</v>
      </c>
      <c r="E469" t="s">
        <v>44</v>
      </c>
      <c r="F469" t="s">
        <v>324</v>
      </c>
      <c r="G469">
        <v>12</v>
      </c>
      <c r="H469">
        <v>72.599999999999994</v>
      </c>
      <c r="I469" t="s">
        <v>912</v>
      </c>
      <c r="K469" t="b">
        <f>IF(Table1[[#This Row],[dispatch_date]]-Table1[[#This Row],[order_date]] &gt;=0, TRUE, FALSE)</f>
        <v>1</v>
      </c>
    </row>
    <row r="470" spans="1:11" x14ac:dyDescent="0.2">
      <c r="A470" t="s">
        <v>2297</v>
      </c>
      <c r="B470" t="s">
        <v>979</v>
      </c>
      <c r="C470" s="9">
        <v>45807</v>
      </c>
      <c r="D470" s="9">
        <v>45810</v>
      </c>
      <c r="E470" t="s">
        <v>40</v>
      </c>
      <c r="G470">
        <v>6</v>
      </c>
      <c r="H470">
        <v>23.34</v>
      </c>
      <c r="I470" t="s">
        <v>927</v>
      </c>
      <c r="K470" t="b">
        <f>IF(Table1[[#This Row],[dispatch_date]]-Table1[[#This Row],[order_date]] &gt;=0, TRUE, FALSE)</f>
        <v>1</v>
      </c>
    </row>
    <row r="471" spans="1:11" x14ac:dyDescent="0.2">
      <c r="A471" t="s">
        <v>1608</v>
      </c>
      <c r="B471" t="s">
        <v>962</v>
      </c>
      <c r="C471" s="9">
        <v>45808</v>
      </c>
      <c r="D471" s="9">
        <v>45809</v>
      </c>
      <c r="E471" t="s">
        <v>56</v>
      </c>
      <c r="F471" t="s">
        <v>606</v>
      </c>
      <c r="G471">
        <v>36</v>
      </c>
      <c r="H471">
        <v>211.68</v>
      </c>
      <c r="I471" t="s">
        <v>1079</v>
      </c>
      <c r="K471" t="b">
        <f>IF(Table1[[#This Row],[dispatch_date]]-Table1[[#This Row],[order_date]] &gt;=0, TRUE, FALSE)</f>
        <v>1</v>
      </c>
    </row>
    <row r="472" spans="1:11" x14ac:dyDescent="0.2">
      <c r="A472" t="s">
        <v>1640</v>
      </c>
      <c r="B472" t="s">
        <v>906</v>
      </c>
      <c r="C472" s="9">
        <v>45808</v>
      </c>
      <c r="D472" s="9">
        <v>45809</v>
      </c>
      <c r="E472" t="s">
        <v>40</v>
      </c>
      <c r="G472">
        <v>12</v>
      </c>
      <c r="H472">
        <v>46.68</v>
      </c>
      <c r="I472" t="s">
        <v>938</v>
      </c>
      <c r="K472" t="b">
        <f>IF(Table1[[#This Row],[dispatch_date]]-Table1[[#This Row],[order_date]] &gt;=0, TRUE, FALSE)</f>
        <v>1</v>
      </c>
    </row>
    <row r="473" spans="1:11" x14ac:dyDescent="0.2">
      <c r="A473" t="s">
        <v>1735</v>
      </c>
      <c r="B473" t="s">
        <v>1031</v>
      </c>
      <c r="C473" s="9">
        <v>45808</v>
      </c>
      <c r="D473" s="9">
        <v>45810</v>
      </c>
      <c r="E473" t="s">
        <v>65</v>
      </c>
      <c r="G473">
        <v>36</v>
      </c>
      <c r="H473">
        <v>477.72</v>
      </c>
      <c r="I473" t="s">
        <v>956</v>
      </c>
      <c r="K473" t="b">
        <f>IF(Table1[[#This Row],[dispatch_date]]-Table1[[#This Row],[order_date]] &gt;=0, TRUE, FALSE)</f>
        <v>1</v>
      </c>
    </row>
    <row r="474" spans="1:11" x14ac:dyDescent="0.2">
      <c r="A474" t="s">
        <v>2527</v>
      </c>
      <c r="B474" t="s">
        <v>1064</v>
      </c>
      <c r="C474" s="9">
        <v>45808</v>
      </c>
      <c r="D474" s="9">
        <v>45811</v>
      </c>
      <c r="E474" t="s">
        <v>50</v>
      </c>
      <c r="F474" t="s">
        <v>558</v>
      </c>
      <c r="G474">
        <v>12</v>
      </c>
      <c r="H474">
        <v>73.2</v>
      </c>
      <c r="I474" t="s">
        <v>1079</v>
      </c>
      <c r="K474" t="b">
        <f>IF(Table1[[#This Row],[dispatch_date]]-Table1[[#This Row],[order_date]] &gt;=0, TRUE, FALSE)</f>
        <v>1</v>
      </c>
    </row>
    <row r="475" spans="1:11" x14ac:dyDescent="0.2">
      <c r="A475" t="s">
        <v>2540</v>
      </c>
      <c r="B475" t="s">
        <v>960</v>
      </c>
      <c r="C475" s="9">
        <v>45808</v>
      </c>
      <c r="D475" s="9">
        <v>45809</v>
      </c>
      <c r="E475" t="s">
        <v>93</v>
      </c>
      <c r="G475">
        <v>72</v>
      </c>
      <c r="H475">
        <v>200.88</v>
      </c>
      <c r="I475" t="s">
        <v>938</v>
      </c>
      <c r="K475" t="b">
        <f>IF(Table1[[#This Row],[dispatch_date]]-Table1[[#This Row],[order_date]] &gt;=0, TRUE, FALSE)</f>
        <v>1</v>
      </c>
    </row>
    <row r="476" spans="1:11" x14ac:dyDescent="0.2">
      <c r="A476" t="s">
        <v>2791</v>
      </c>
      <c r="B476" t="s">
        <v>1067</v>
      </c>
      <c r="C476" s="9">
        <v>45808</v>
      </c>
      <c r="D476" s="9">
        <v>45810</v>
      </c>
      <c r="E476" t="s">
        <v>105</v>
      </c>
      <c r="F476" t="s">
        <v>619</v>
      </c>
      <c r="G476">
        <v>72</v>
      </c>
      <c r="H476">
        <v>428.4</v>
      </c>
      <c r="I476" t="s">
        <v>956</v>
      </c>
      <c r="K476" t="b">
        <f>IF(Table1[[#This Row],[dispatch_date]]-Table1[[#This Row],[order_date]] &gt;=0, TRUE, FALSE)</f>
        <v>1</v>
      </c>
    </row>
    <row r="477" spans="1:11" x14ac:dyDescent="0.2">
      <c r="A477" t="s">
        <v>2800</v>
      </c>
      <c r="B477" t="s">
        <v>1052</v>
      </c>
      <c r="C477" s="9">
        <v>45808</v>
      </c>
      <c r="D477" s="9">
        <v>45809</v>
      </c>
      <c r="E477" t="s">
        <v>58</v>
      </c>
      <c r="F477" t="s">
        <v>235</v>
      </c>
      <c r="G477">
        <v>36</v>
      </c>
      <c r="H477">
        <v>226.8</v>
      </c>
      <c r="I477" t="s">
        <v>956</v>
      </c>
      <c r="K477" t="b">
        <f>IF(Table1[[#This Row],[dispatch_date]]-Table1[[#This Row],[order_date]] &gt;=0, TRUE, FALSE)</f>
        <v>1</v>
      </c>
    </row>
    <row r="478" spans="1:11" x14ac:dyDescent="0.2">
      <c r="A478" t="s">
        <v>1406</v>
      </c>
      <c r="B478" t="s">
        <v>1027</v>
      </c>
      <c r="C478" s="9">
        <v>45809</v>
      </c>
      <c r="D478" s="9"/>
      <c r="E478" t="s">
        <v>121</v>
      </c>
      <c r="F478" t="s">
        <v>593</v>
      </c>
      <c r="G478">
        <v>24</v>
      </c>
      <c r="H478">
        <v>308.16000000000003</v>
      </c>
      <c r="I478" t="s">
        <v>916</v>
      </c>
      <c r="K478" t="b">
        <f>IF(Table1[[#This Row],[dispatch_date]]-Table1[[#This Row],[order_date]] &gt;=0, TRUE, FALSE)</f>
        <v>0</v>
      </c>
    </row>
    <row r="479" spans="1:11" x14ac:dyDescent="0.2">
      <c r="A479" t="s">
        <v>1811</v>
      </c>
      <c r="B479" t="s">
        <v>1059</v>
      </c>
      <c r="C479" s="9">
        <v>45810</v>
      </c>
      <c r="D479" s="9">
        <v>45813</v>
      </c>
      <c r="E479" t="s">
        <v>44</v>
      </c>
      <c r="F479" t="s">
        <v>349</v>
      </c>
      <c r="G479">
        <v>6</v>
      </c>
      <c r="H479">
        <v>36.299999999999997</v>
      </c>
      <c r="I479" t="s">
        <v>956</v>
      </c>
      <c r="K479" t="b">
        <f>IF(Table1[[#This Row],[dispatch_date]]-Table1[[#This Row],[order_date]] &gt;=0, TRUE, FALSE)</f>
        <v>1</v>
      </c>
    </row>
    <row r="480" spans="1:11" x14ac:dyDescent="0.2">
      <c r="A480" t="s">
        <v>1906</v>
      </c>
      <c r="B480" t="s">
        <v>1006</v>
      </c>
      <c r="C480" s="9">
        <v>45810</v>
      </c>
      <c r="D480" s="9">
        <v>45813</v>
      </c>
      <c r="E480" t="s">
        <v>121</v>
      </c>
      <c r="F480" t="s">
        <v>597</v>
      </c>
      <c r="G480">
        <v>48</v>
      </c>
      <c r="H480">
        <v>616.32000000000005</v>
      </c>
      <c r="I480" t="s">
        <v>912</v>
      </c>
      <c r="J480" t="s">
        <v>3134</v>
      </c>
      <c r="K480" t="b">
        <f>IF(Table1[[#This Row],[dispatch_date]]-Table1[[#This Row],[order_date]] &gt;=0, TRUE, FALSE)</f>
        <v>1</v>
      </c>
    </row>
    <row r="481" spans="1:11" x14ac:dyDescent="0.2">
      <c r="A481" t="s">
        <v>2751</v>
      </c>
      <c r="B481" t="s">
        <v>1016</v>
      </c>
      <c r="C481" s="9">
        <v>45694</v>
      </c>
      <c r="D481" s="9">
        <v>45696</v>
      </c>
      <c r="E481" t="s">
        <v>54</v>
      </c>
      <c r="F481" t="s">
        <v>408</v>
      </c>
      <c r="G481">
        <v>72</v>
      </c>
      <c r="H481">
        <v>318.95999999999998</v>
      </c>
      <c r="I481" t="s">
        <v>912</v>
      </c>
      <c r="J481" t="s">
        <v>3134</v>
      </c>
      <c r="K481" t="b">
        <f>IF(Table1[[#This Row],[dispatch_date]]-Table1[[#This Row],[order_date]] &gt;=0, TRUE, FALSE)</f>
        <v>1</v>
      </c>
    </row>
    <row r="482" spans="1:11" x14ac:dyDescent="0.2">
      <c r="A482" t="s">
        <v>1207</v>
      </c>
      <c r="B482" t="s">
        <v>1011</v>
      </c>
      <c r="C482" s="9">
        <v>45811</v>
      </c>
      <c r="D482" s="9">
        <v>45813</v>
      </c>
      <c r="E482" t="s">
        <v>80</v>
      </c>
      <c r="F482" t="s">
        <v>352</v>
      </c>
      <c r="G482">
        <v>48</v>
      </c>
      <c r="H482">
        <v>285.60000000000002</v>
      </c>
      <c r="I482" t="s">
        <v>916</v>
      </c>
      <c r="K482" t="b">
        <f>IF(Table1[[#This Row],[dispatch_date]]-Table1[[#This Row],[order_date]] &gt;=0, TRUE, FALSE)</f>
        <v>1</v>
      </c>
    </row>
    <row r="483" spans="1:11" x14ac:dyDescent="0.2">
      <c r="A483" t="s">
        <v>1220</v>
      </c>
      <c r="B483" t="s">
        <v>1059</v>
      </c>
      <c r="C483" s="9">
        <v>45811</v>
      </c>
      <c r="D483" s="9">
        <v>45813</v>
      </c>
      <c r="E483" t="s">
        <v>118</v>
      </c>
      <c r="F483" t="s">
        <v>396</v>
      </c>
      <c r="G483">
        <v>48</v>
      </c>
      <c r="H483">
        <v>630.72</v>
      </c>
      <c r="I483" t="s">
        <v>956</v>
      </c>
      <c r="K483" t="b">
        <f>IF(Table1[[#This Row],[dispatch_date]]-Table1[[#This Row],[order_date]] &gt;=0, TRUE, FALSE)</f>
        <v>1</v>
      </c>
    </row>
    <row r="484" spans="1:11" x14ac:dyDescent="0.2">
      <c r="A484" t="s">
        <v>1134</v>
      </c>
      <c r="B484" t="s">
        <v>1046</v>
      </c>
      <c r="C484" s="9">
        <v>45812</v>
      </c>
      <c r="D484" s="9"/>
      <c r="E484" t="s">
        <v>56</v>
      </c>
      <c r="F484" t="s">
        <v>606</v>
      </c>
      <c r="G484">
        <v>24</v>
      </c>
      <c r="H484">
        <v>141.12</v>
      </c>
      <c r="I484" t="s">
        <v>912</v>
      </c>
      <c r="K484" t="b">
        <f>IF(Table1[[#This Row],[dispatch_date]]-Table1[[#This Row],[order_date]] &gt;=0, TRUE, FALSE)</f>
        <v>0</v>
      </c>
    </row>
    <row r="485" spans="1:11" x14ac:dyDescent="0.2">
      <c r="A485" t="s">
        <v>1198</v>
      </c>
      <c r="B485" t="s">
        <v>1059</v>
      </c>
      <c r="C485" s="9">
        <v>45812</v>
      </c>
      <c r="D485" s="9">
        <v>45812</v>
      </c>
      <c r="E485" t="s">
        <v>65</v>
      </c>
      <c r="G485">
        <v>24</v>
      </c>
      <c r="H485">
        <v>302.56</v>
      </c>
      <c r="I485" t="s">
        <v>956</v>
      </c>
      <c r="K485" t="b">
        <f>IF(Table1[[#This Row],[dispatch_date]]-Table1[[#This Row],[order_date]] &gt;=0, TRUE, FALSE)</f>
        <v>1</v>
      </c>
    </row>
    <row r="486" spans="1:11" x14ac:dyDescent="0.2">
      <c r="A486" t="s">
        <v>1858</v>
      </c>
      <c r="B486" t="s">
        <v>991</v>
      </c>
      <c r="C486" s="9">
        <v>45812</v>
      </c>
      <c r="D486" s="9">
        <v>45812</v>
      </c>
      <c r="E486" t="s">
        <v>112</v>
      </c>
      <c r="G486">
        <v>12</v>
      </c>
      <c r="H486">
        <v>72.12</v>
      </c>
      <c r="I486" t="s">
        <v>956</v>
      </c>
      <c r="K486" t="b">
        <f>IF(Table1[[#This Row],[dispatch_date]]-Table1[[#This Row],[order_date]] &gt;=0, TRUE, FALSE)</f>
        <v>1</v>
      </c>
    </row>
    <row r="487" spans="1:11" x14ac:dyDescent="0.2">
      <c r="A487" t="s">
        <v>1874</v>
      </c>
      <c r="B487" t="s">
        <v>979</v>
      </c>
      <c r="C487" s="9">
        <v>45812</v>
      </c>
      <c r="D487" s="9">
        <v>45814</v>
      </c>
      <c r="E487" t="s">
        <v>44</v>
      </c>
      <c r="F487" t="s">
        <v>693</v>
      </c>
      <c r="G487">
        <v>24</v>
      </c>
      <c r="H487">
        <v>145.19999999999999</v>
      </c>
      <c r="I487" t="s">
        <v>927</v>
      </c>
      <c r="K487" t="b">
        <f>IF(Table1[[#This Row],[dispatch_date]]-Table1[[#This Row],[order_date]] &gt;=0, TRUE, FALSE)</f>
        <v>1</v>
      </c>
    </row>
    <row r="488" spans="1:11" x14ac:dyDescent="0.2">
      <c r="A488" t="s">
        <v>1930</v>
      </c>
      <c r="B488" t="s">
        <v>1013</v>
      </c>
      <c r="C488" s="9">
        <v>45812</v>
      </c>
      <c r="D488" s="9">
        <v>45815</v>
      </c>
      <c r="E488" t="s">
        <v>90</v>
      </c>
      <c r="F488" t="s">
        <v>759</v>
      </c>
      <c r="G488">
        <v>24</v>
      </c>
      <c r="H488">
        <v>191.52</v>
      </c>
      <c r="I488" t="s">
        <v>956</v>
      </c>
      <c r="K488" t="b">
        <f>IF(Table1[[#This Row],[dispatch_date]]-Table1[[#This Row],[order_date]] &gt;=0, TRUE, FALSE)</f>
        <v>1</v>
      </c>
    </row>
    <row r="489" spans="1:11" x14ac:dyDescent="0.2">
      <c r="A489" t="s">
        <v>2482</v>
      </c>
      <c r="B489" t="s">
        <v>1046</v>
      </c>
      <c r="C489" s="9">
        <v>45812</v>
      </c>
      <c r="D489" s="9">
        <v>45814</v>
      </c>
      <c r="E489" t="s">
        <v>129</v>
      </c>
      <c r="G489">
        <v>48</v>
      </c>
      <c r="H489">
        <v>228</v>
      </c>
      <c r="I489" t="s">
        <v>912</v>
      </c>
      <c r="K489" t="b">
        <f>IF(Table1[[#This Row],[dispatch_date]]-Table1[[#This Row],[order_date]] &gt;=0, TRUE, FALSE)</f>
        <v>1</v>
      </c>
    </row>
    <row r="490" spans="1:11" x14ac:dyDescent="0.2">
      <c r="A490" t="s">
        <v>2732</v>
      </c>
      <c r="B490" t="s">
        <v>1011</v>
      </c>
      <c r="C490" s="9">
        <v>45812</v>
      </c>
      <c r="D490" s="9">
        <v>45813</v>
      </c>
      <c r="E490" t="s">
        <v>40</v>
      </c>
      <c r="F490" t="s">
        <v>823</v>
      </c>
      <c r="G490">
        <v>48</v>
      </c>
      <c r="H490">
        <v>186.72</v>
      </c>
      <c r="I490" t="s">
        <v>916</v>
      </c>
      <c r="K490" t="b">
        <f>IF(Table1[[#This Row],[dispatch_date]]-Table1[[#This Row],[order_date]] &gt;=0, TRUE, FALSE)</f>
        <v>1</v>
      </c>
    </row>
    <row r="491" spans="1:11" x14ac:dyDescent="0.2">
      <c r="A491" t="s">
        <v>2787</v>
      </c>
      <c r="B491" t="s">
        <v>1076</v>
      </c>
      <c r="C491" s="9">
        <v>45812</v>
      </c>
      <c r="D491" s="9">
        <v>45813</v>
      </c>
      <c r="E491" t="s">
        <v>121</v>
      </c>
      <c r="F491" t="s">
        <v>394</v>
      </c>
      <c r="G491">
        <v>48</v>
      </c>
      <c r="H491">
        <v>616.32000000000005</v>
      </c>
      <c r="I491" t="s">
        <v>927</v>
      </c>
      <c r="K491" t="b">
        <f>IF(Table1[[#This Row],[dispatch_date]]-Table1[[#This Row],[order_date]] &gt;=0, TRUE, FALSE)</f>
        <v>1</v>
      </c>
    </row>
    <row r="492" spans="1:11" x14ac:dyDescent="0.2">
      <c r="A492" t="s">
        <v>2844</v>
      </c>
      <c r="B492" t="s">
        <v>914</v>
      </c>
      <c r="C492" s="9">
        <v>45753</v>
      </c>
      <c r="D492" s="9">
        <v>45755</v>
      </c>
      <c r="E492" t="s">
        <v>38</v>
      </c>
      <c r="F492" t="s">
        <v>889</v>
      </c>
      <c r="G492">
        <v>48</v>
      </c>
      <c r="H492">
        <v>232.56</v>
      </c>
      <c r="I492" t="s">
        <v>916</v>
      </c>
      <c r="J492" t="s">
        <v>3134</v>
      </c>
      <c r="K492" t="b">
        <f>IF(Table1[[#This Row],[dispatch_date]]-Table1[[#This Row],[order_date]] &gt;=0, TRUE, FALSE)</f>
        <v>1</v>
      </c>
    </row>
    <row r="493" spans="1:11" x14ac:dyDescent="0.2">
      <c r="A493" t="s">
        <v>1662</v>
      </c>
      <c r="B493" t="s">
        <v>998</v>
      </c>
      <c r="C493" s="9">
        <v>45783</v>
      </c>
      <c r="D493" s="9">
        <v>45786</v>
      </c>
      <c r="E493" t="s">
        <v>112</v>
      </c>
      <c r="F493" t="s">
        <v>650</v>
      </c>
      <c r="G493">
        <v>36</v>
      </c>
      <c r="H493">
        <v>205.54</v>
      </c>
      <c r="I493" t="s">
        <v>938</v>
      </c>
      <c r="J493" t="s">
        <v>3134</v>
      </c>
      <c r="K493" t="b">
        <f>IF(Table1[[#This Row],[dispatch_date]]-Table1[[#This Row],[order_date]] &gt;=0, TRUE, FALSE)</f>
        <v>1</v>
      </c>
    </row>
    <row r="494" spans="1:11" x14ac:dyDescent="0.2">
      <c r="A494" t="s">
        <v>2743</v>
      </c>
      <c r="B494" t="s">
        <v>1037</v>
      </c>
      <c r="C494" s="9">
        <v>45813</v>
      </c>
      <c r="D494" s="9">
        <v>45815</v>
      </c>
      <c r="E494" t="s">
        <v>40</v>
      </c>
      <c r="F494" t="s">
        <v>701</v>
      </c>
      <c r="G494">
        <v>24</v>
      </c>
      <c r="H494">
        <v>93.36</v>
      </c>
      <c r="I494" t="s">
        <v>938</v>
      </c>
      <c r="K494" t="b">
        <f>IF(Table1[[#This Row],[dispatch_date]]-Table1[[#This Row],[order_date]] &gt;=0, TRUE, FALSE)</f>
        <v>1</v>
      </c>
    </row>
    <row r="495" spans="1:11" x14ac:dyDescent="0.2">
      <c r="A495" t="s">
        <v>2770</v>
      </c>
      <c r="B495" t="s">
        <v>1031</v>
      </c>
      <c r="C495" s="9">
        <v>45813</v>
      </c>
      <c r="D495" s="9">
        <v>45815</v>
      </c>
      <c r="E495" t="s">
        <v>14</v>
      </c>
      <c r="F495" t="s">
        <v>621</v>
      </c>
      <c r="G495">
        <v>24</v>
      </c>
      <c r="H495">
        <v>87.6</v>
      </c>
      <c r="I495" t="s">
        <v>956</v>
      </c>
      <c r="K495" t="b">
        <f>IF(Table1[[#This Row],[dispatch_date]]-Table1[[#This Row],[order_date]] &gt;=0, TRUE, FALSE)</f>
        <v>1</v>
      </c>
    </row>
    <row r="496" spans="1:11" x14ac:dyDescent="0.2">
      <c r="A496" t="s">
        <v>1168</v>
      </c>
      <c r="B496" t="s">
        <v>1049</v>
      </c>
      <c r="C496" s="9">
        <v>45814</v>
      </c>
      <c r="D496" s="9">
        <v>45816</v>
      </c>
      <c r="E496" t="s">
        <v>88</v>
      </c>
      <c r="F496" t="s">
        <v>883</v>
      </c>
      <c r="G496">
        <v>48</v>
      </c>
      <c r="H496">
        <v>198.24</v>
      </c>
      <c r="I496" t="s">
        <v>938</v>
      </c>
      <c r="K496" t="b">
        <f>IF(Table1[[#This Row],[dispatch_date]]-Table1[[#This Row],[order_date]] &gt;=0, TRUE, FALSE)</f>
        <v>1</v>
      </c>
    </row>
    <row r="497" spans="1:11" x14ac:dyDescent="0.2">
      <c r="A497" t="s">
        <v>1644</v>
      </c>
      <c r="B497" t="s">
        <v>1052</v>
      </c>
      <c r="C497" s="9">
        <v>45814</v>
      </c>
      <c r="D497" s="9">
        <v>45814</v>
      </c>
      <c r="E497" t="s">
        <v>95</v>
      </c>
      <c r="F497" t="s">
        <v>321</v>
      </c>
      <c r="G497">
        <v>24</v>
      </c>
      <c r="H497">
        <v>94.56</v>
      </c>
      <c r="I497" t="s">
        <v>956</v>
      </c>
      <c r="K497" t="b">
        <f>IF(Table1[[#This Row],[dispatch_date]]-Table1[[#This Row],[order_date]] &gt;=0, TRUE, FALSE)</f>
        <v>1</v>
      </c>
    </row>
    <row r="498" spans="1:11" x14ac:dyDescent="0.2">
      <c r="A498" t="s">
        <v>2253</v>
      </c>
      <c r="B498" t="s">
        <v>922</v>
      </c>
      <c r="C498" s="9">
        <v>45814</v>
      </c>
      <c r="D498" s="9">
        <v>45815</v>
      </c>
      <c r="E498" t="s">
        <v>74</v>
      </c>
      <c r="F498" t="s">
        <v>537</v>
      </c>
      <c r="G498">
        <v>24</v>
      </c>
      <c r="H498">
        <v>51.6</v>
      </c>
      <c r="I498" t="s">
        <v>912</v>
      </c>
      <c r="K498" t="b">
        <f>IF(Table1[[#This Row],[dispatch_date]]-Table1[[#This Row],[order_date]] &gt;=0, TRUE, FALSE)</f>
        <v>1</v>
      </c>
    </row>
    <row r="499" spans="1:11" x14ac:dyDescent="0.2">
      <c r="A499" t="s">
        <v>2618</v>
      </c>
      <c r="B499" t="s">
        <v>1076</v>
      </c>
      <c r="C499" s="9">
        <v>45814</v>
      </c>
      <c r="D499" s="9">
        <v>45814</v>
      </c>
      <c r="E499" t="s">
        <v>48</v>
      </c>
      <c r="F499" t="s">
        <v>624</v>
      </c>
      <c r="G499">
        <v>24</v>
      </c>
      <c r="H499">
        <v>161.76</v>
      </c>
      <c r="I499" t="s">
        <v>927</v>
      </c>
      <c r="K499" t="b">
        <f>IF(Table1[[#This Row],[dispatch_date]]-Table1[[#This Row],[order_date]] &gt;=0, TRUE, FALSE)</f>
        <v>1</v>
      </c>
    </row>
    <row r="500" spans="1:11" x14ac:dyDescent="0.2">
      <c r="A500" t="s">
        <v>1549</v>
      </c>
      <c r="B500" t="s">
        <v>1018</v>
      </c>
      <c r="C500" s="9">
        <v>45815</v>
      </c>
      <c r="D500" s="9">
        <v>45816</v>
      </c>
      <c r="E500" t="s">
        <v>44</v>
      </c>
      <c r="F500" t="s">
        <v>324</v>
      </c>
      <c r="G500">
        <v>36</v>
      </c>
      <c r="H500">
        <v>217.8</v>
      </c>
      <c r="I500" t="s">
        <v>916</v>
      </c>
      <c r="K500" t="b">
        <f>IF(Table1[[#This Row],[dispatch_date]]-Table1[[#This Row],[order_date]] &gt;=0, TRUE, FALSE)</f>
        <v>1</v>
      </c>
    </row>
    <row r="501" spans="1:11" x14ac:dyDescent="0.2">
      <c r="A501" t="s">
        <v>2256</v>
      </c>
      <c r="B501" t="s">
        <v>901</v>
      </c>
      <c r="C501" s="9">
        <v>45815</v>
      </c>
      <c r="D501" s="9">
        <v>45818</v>
      </c>
      <c r="E501" t="s">
        <v>95</v>
      </c>
      <c r="G501">
        <v>12</v>
      </c>
      <c r="H501">
        <v>47.28</v>
      </c>
      <c r="I501" t="s">
        <v>916</v>
      </c>
      <c r="K501" t="b">
        <f>IF(Table1[[#This Row],[dispatch_date]]-Table1[[#This Row],[order_date]] &gt;=0, TRUE, FALSE)</f>
        <v>1</v>
      </c>
    </row>
    <row r="502" spans="1:11" x14ac:dyDescent="0.2">
      <c r="A502" t="s">
        <v>2388</v>
      </c>
      <c r="B502" t="s">
        <v>991</v>
      </c>
      <c r="C502" s="9">
        <v>45815</v>
      </c>
      <c r="D502" s="9">
        <v>45816</v>
      </c>
      <c r="E502" t="s">
        <v>30</v>
      </c>
      <c r="F502" t="s">
        <v>712</v>
      </c>
      <c r="G502">
        <v>48</v>
      </c>
      <c r="H502">
        <v>115.2</v>
      </c>
      <c r="I502" t="s">
        <v>956</v>
      </c>
      <c r="K502" t="b">
        <f>IF(Table1[[#This Row],[dispatch_date]]-Table1[[#This Row],[order_date]] &gt;=0, TRUE, FALSE)</f>
        <v>1</v>
      </c>
    </row>
    <row r="503" spans="1:11" x14ac:dyDescent="0.2">
      <c r="A503" t="s">
        <v>2487</v>
      </c>
      <c r="B503" t="s">
        <v>1064</v>
      </c>
      <c r="C503" s="9">
        <v>45815</v>
      </c>
      <c r="D503" s="9">
        <v>45817</v>
      </c>
      <c r="E503" t="s">
        <v>99</v>
      </c>
      <c r="F503" t="s">
        <v>804</v>
      </c>
      <c r="G503">
        <v>24</v>
      </c>
      <c r="H503">
        <v>177.36</v>
      </c>
      <c r="I503" t="s">
        <v>1079</v>
      </c>
      <c r="K503" t="b">
        <f>IF(Table1[[#This Row],[dispatch_date]]-Table1[[#This Row],[order_date]] &gt;=0, TRUE, FALSE)</f>
        <v>1</v>
      </c>
    </row>
    <row r="504" spans="1:11" x14ac:dyDescent="0.2">
      <c r="A504" t="s">
        <v>1122</v>
      </c>
      <c r="B504" t="s">
        <v>1001</v>
      </c>
      <c r="C504" s="9">
        <v>45816</v>
      </c>
      <c r="D504" s="9">
        <v>45816</v>
      </c>
      <c r="E504" t="s">
        <v>19</v>
      </c>
      <c r="F504" t="s">
        <v>488</v>
      </c>
      <c r="G504">
        <v>72</v>
      </c>
      <c r="H504">
        <v>146.16</v>
      </c>
      <c r="I504" t="s">
        <v>916</v>
      </c>
      <c r="K504" t="b">
        <f>IF(Table1[[#This Row],[dispatch_date]]-Table1[[#This Row],[order_date]] &gt;=0, TRUE, FALSE)</f>
        <v>1</v>
      </c>
    </row>
    <row r="505" spans="1:11" x14ac:dyDescent="0.2">
      <c r="A505" t="s">
        <v>1848</v>
      </c>
      <c r="B505" t="s">
        <v>951</v>
      </c>
      <c r="C505" s="9">
        <v>45816</v>
      </c>
      <c r="D505" s="9">
        <v>45819</v>
      </c>
      <c r="E505" t="s">
        <v>127</v>
      </c>
      <c r="G505">
        <v>24</v>
      </c>
      <c r="H505">
        <v>93.48</v>
      </c>
      <c r="I505" t="s">
        <v>956</v>
      </c>
      <c r="K505" t="b">
        <f>IF(Table1[[#This Row],[dispatch_date]]-Table1[[#This Row],[order_date]] &gt;=0, TRUE, FALSE)</f>
        <v>1</v>
      </c>
    </row>
    <row r="506" spans="1:11" x14ac:dyDescent="0.2">
      <c r="A506" t="s">
        <v>2069</v>
      </c>
      <c r="B506" t="s">
        <v>942</v>
      </c>
      <c r="C506" s="9">
        <v>45816</v>
      </c>
      <c r="D506" s="9">
        <v>45819</v>
      </c>
      <c r="E506" t="s">
        <v>50</v>
      </c>
      <c r="F506" t="s">
        <v>558</v>
      </c>
      <c r="G506">
        <v>6</v>
      </c>
      <c r="H506">
        <v>36.6</v>
      </c>
      <c r="I506" t="s">
        <v>916</v>
      </c>
      <c r="K506" t="b">
        <f>IF(Table1[[#This Row],[dispatch_date]]-Table1[[#This Row],[order_date]] &gt;=0, TRUE, FALSE)</f>
        <v>1</v>
      </c>
    </row>
    <row r="507" spans="1:11" x14ac:dyDescent="0.2">
      <c r="A507" t="s">
        <v>2515</v>
      </c>
      <c r="B507" t="s">
        <v>918</v>
      </c>
      <c r="C507" s="9">
        <v>45816</v>
      </c>
      <c r="D507" s="9">
        <v>45816</v>
      </c>
      <c r="E507" t="s">
        <v>118</v>
      </c>
      <c r="F507" t="s">
        <v>396</v>
      </c>
      <c r="G507">
        <v>24</v>
      </c>
      <c r="H507">
        <v>299.58999999999997</v>
      </c>
      <c r="I507" t="s">
        <v>912</v>
      </c>
      <c r="K507" t="b">
        <f>IF(Table1[[#This Row],[dispatch_date]]-Table1[[#This Row],[order_date]] &gt;=0, TRUE, FALSE)</f>
        <v>1</v>
      </c>
    </row>
    <row r="508" spans="1:11" x14ac:dyDescent="0.2">
      <c r="A508" t="s">
        <v>1191</v>
      </c>
      <c r="B508" t="s">
        <v>1034</v>
      </c>
      <c r="C508" s="9">
        <v>45906</v>
      </c>
      <c r="D508" s="9">
        <v>45906</v>
      </c>
      <c r="E508" t="s">
        <v>74</v>
      </c>
      <c r="F508" t="s">
        <v>860</v>
      </c>
      <c r="G508">
        <v>6</v>
      </c>
      <c r="H508">
        <v>12.25</v>
      </c>
      <c r="I508" t="s">
        <v>938</v>
      </c>
      <c r="K508" t="b">
        <f>IF(Table1[[#This Row],[dispatch_date]]-Table1[[#This Row],[order_date]] &gt;=0, TRUE, FALSE)</f>
        <v>1</v>
      </c>
    </row>
    <row r="509" spans="1:11" x14ac:dyDescent="0.2">
      <c r="A509" t="s">
        <v>1386</v>
      </c>
      <c r="B509" t="s">
        <v>1076</v>
      </c>
      <c r="C509" s="9">
        <v>45817</v>
      </c>
      <c r="D509" s="9">
        <v>45817</v>
      </c>
      <c r="E509" t="s">
        <v>28</v>
      </c>
      <c r="F509" t="s">
        <v>514</v>
      </c>
      <c r="G509">
        <v>36</v>
      </c>
      <c r="H509">
        <v>206.64</v>
      </c>
      <c r="I509" t="s">
        <v>927</v>
      </c>
      <c r="K509" t="b">
        <f>IF(Table1[[#This Row],[dispatch_date]]-Table1[[#This Row],[order_date]] &gt;=0, TRUE, FALSE)</f>
        <v>1</v>
      </c>
    </row>
    <row r="510" spans="1:11" x14ac:dyDescent="0.2">
      <c r="A510" t="s">
        <v>1853</v>
      </c>
      <c r="B510" t="s">
        <v>925</v>
      </c>
      <c r="C510" s="9">
        <v>45817</v>
      </c>
      <c r="D510" s="9">
        <v>45817</v>
      </c>
      <c r="E510" t="s">
        <v>54</v>
      </c>
      <c r="G510">
        <v>6</v>
      </c>
      <c r="H510">
        <v>25.25</v>
      </c>
      <c r="I510" t="s">
        <v>927</v>
      </c>
      <c r="K510" t="b">
        <f>IF(Table1[[#This Row],[dispatch_date]]-Table1[[#This Row],[order_date]] &gt;=0, TRUE, FALSE)</f>
        <v>1</v>
      </c>
    </row>
    <row r="511" spans="1:11" x14ac:dyDescent="0.2">
      <c r="A511" t="s">
        <v>2380</v>
      </c>
      <c r="B511" t="s">
        <v>1034</v>
      </c>
      <c r="C511" s="9">
        <v>45817</v>
      </c>
      <c r="D511" s="9">
        <v>45820</v>
      </c>
      <c r="E511" t="s">
        <v>48</v>
      </c>
      <c r="F511" t="s">
        <v>198</v>
      </c>
      <c r="G511">
        <v>36</v>
      </c>
      <c r="H511">
        <v>230.51</v>
      </c>
      <c r="I511" t="s">
        <v>956</v>
      </c>
      <c r="K511" t="b">
        <f>IF(Table1[[#This Row],[dispatch_date]]-Table1[[#This Row],[order_date]] &gt;=0, TRUE, FALSE)</f>
        <v>1</v>
      </c>
    </row>
    <row r="512" spans="1:11" x14ac:dyDescent="0.2">
      <c r="A512" t="s">
        <v>2441</v>
      </c>
      <c r="B512" t="s">
        <v>929</v>
      </c>
      <c r="C512" s="9">
        <v>45817</v>
      </c>
      <c r="D512" s="9">
        <v>45818</v>
      </c>
      <c r="E512" t="s">
        <v>86</v>
      </c>
      <c r="F512" t="s">
        <v>310</v>
      </c>
      <c r="G512">
        <v>6</v>
      </c>
      <c r="H512">
        <v>19.14</v>
      </c>
      <c r="I512" t="s">
        <v>912</v>
      </c>
      <c r="K512" t="b">
        <f>IF(Table1[[#This Row],[dispatch_date]]-Table1[[#This Row],[order_date]] &gt;=0, TRUE, FALSE)</f>
        <v>1</v>
      </c>
    </row>
    <row r="513" spans="1:11" x14ac:dyDescent="0.2">
      <c r="A513" t="s">
        <v>2475</v>
      </c>
      <c r="B513" t="s">
        <v>965</v>
      </c>
      <c r="C513" s="9">
        <v>45817</v>
      </c>
      <c r="D513" s="9">
        <v>45818</v>
      </c>
      <c r="E513" t="s">
        <v>80</v>
      </c>
      <c r="F513" t="s">
        <v>352</v>
      </c>
      <c r="G513">
        <v>72</v>
      </c>
      <c r="H513">
        <v>406.98</v>
      </c>
      <c r="I513" t="s">
        <v>956</v>
      </c>
      <c r="K513" t="b">
        <f>IF(Table1[[#This Row],[dispatch_date]]-Table1[[#This Row],[order_date]] &gt;=0, TRUE, FALSE)</f>
        <v>1</v>
      </c>
    </row>
    <row r="514" spans="1:11" x14ac:dyDescent="0.2">
      <c r="A514" t="s">
        <v>2655</v>
      </c>
      <c r="B514" t="s">
        <v>958</v>
      </c>
      <c r="C514" s="9">
        <v>45817</v>
      </c>
      <c r="D514" s="9">
        <v>45820</v>
      </c>
      <c r="E514" t="s">
        <v>25</v>
      </c>
      <c r="F514" t="s">
        <v>570</v>
      </c>
      <c r="G514">
        <v>36</v>
      </c>
      <c r="H514">
        <v>199.8</v>
      </c>
      <c r="I514" t="s">
        <v>956</v>
      </c>
      <c r="K514" t="b">
        <f>IF(Table1[[#This Row],[dispatch_date]]-Table1[[#This Row],[order_date]] &gt;=0, TRUE, FALSE)</f>
        <v>1</v>
      </c>
    </row>
    <row r="515" spans="1:11" x14ac:dyDescent="0.2">
      <c r="A515" t="s">
        <v>1130</v>
      </c>
      <c r="B515" t="s">
        <v>981</v>
      </c>
      <c r="C515" s="9">
        <v>45818</v>
      </c>
      <c r="D515" s="9">
        <v>45820</v>
      </c>
      <c r="E515" t="s">
        <v>127</v>
      </c>
      <c r="F515" t="s">
        <v>258</v>
      </c>
      <c r="G515">
        <v>12</v>
      </c>
      <c r="H515">
        <v>46.74</v>
      </c>
      <c r="I515" t="s">
        <v>916</v>
      </c>
      <c r="K515" t="b">
        <f>IF(Table1[[#This Row],[dispatch_date]]-Table1[[#This Row],[order_date]] &gt;=0, TRUE, FALSE)</f>
        <v>1</v>
      </c>
    </row>
    <row r="516" spans="1:11" x14ac:dyDescent="0.2">
      <c r="A516" t="s">
        <v>1284</v>
      </c>
      <c r="B516" t="s">
        <v>976</v>
      </c>
      <c r="C516" s="9">
        <v>45818</v>
      </c>
      <c r="D516" s="9">
        <v>45820</v>
      </c>
      <c r="E516" t="s">
        <v>54</v>
      </c>
      <c r="F516" t="s">
        <v>341</v>
      </c>
      <c r="G516">
        <v>6</v>
      </c>
      <c r="H516">
        <v>26.58</v>
      </c>
      <c r="I516" t="s">
        <v>938</v>
      </c>
      <c r="K516" t="b">
        <f>IF(Table1[[#This Row],[dispatch_date]]-Table1[[#This Row],[order_date]] &gt;=0, TRUE, FALSE)</f>
        <v>1</v>
      </c>
    </row>
    <row r="517" spans="1:11" x14ac:dyDescent="0.2">
      <c r="A517" t="s">
        <v>1395</v>
      </c>
      <c r="B517" t="s">
        <v>1018</v>
      </c>
      <c r="C517" s="9">
        <v>45818</v>
      </c>
      <c r="D517" s="9">
        <v>45819</v>
      </c>
      <c r="E517" t="s">
        <v>78</v>
      </c>
      <c r="F517" t="s">
        <v>273</v>
      </c>
      <c r="G517">
        <v>24</v>
      </c>
      <c r="H517">
        <v>76.8</v>
      </c>
      <c r="I517" t="s">
        <v>916</v>
      </c>
      <c r="K517" t="b">
        <f>IF(Table1[[#This Row],[dispatch_date]]-Table1[[#This Row],[order_date]] &gt;=0, TRUE, FALSE)</f>
        <v>1</v>
      </c>
    </row>
    <row r="518" spans="1:11" x14ac:dyDescent="0.2">
      <c r="A518" t="s">
        <v>1449</v>
      </c>
      <c r="B518" t="s">
        <v>968</v>
      </c>
      <c r="C518" s="9">
        <v>45818</v>
      </c>
      <c r="D518" s="9">
        <v>45821</v>
      </c>
      <c r="E518" t="s">
        <v>116</v>
      </c>
      <c r="F518" t="s">
        <v>543</v>
      </c>
      <c r="G518">
        <v>6</v>
      </c>
      <c r="H518">
        <v>29.04</v>
      </c>
      <c r="I518" t="s">
        <v>938</v>
      </c>
      <c r="K518" t="b">
        <f>IF(Table1[[#This Row],[dispatch_date]]-Table1[[#This Row],[order_date]] &gt;=0, TRUE, FALSE)</f>
        <v>1</v>
      </c>
    </row>
    <row r="519" spans="1:11" x14ac:dyDescent="0.2">
      <c r="A519" t="s">
        <v>1559</v>
      </c>
      <c r="B519" t="s">
        <v>922</v>
      </c>
      <c r="C519" s="9">
        <v>45936</v>
      </c>
      <c r="D519" s="9">
        <v>45938</v>
      </c>
      <c r="E519" t="s">
        <v>74</v>
      </c>
      <c r="F519" t="s">
        <v>860</v>
      </c>
      <c r="G519">
        <v>48</v>
      </c>
      <c r="H519">
        <v>103.2</v>
      </c>
      <c r="I519" t="s">
        <v>912</v>
      </c>
      <c r="K519" t="b">
        <f>IF(Table1[[#This Row],[dispatch_date]]-Table1[[#This Row],[order_date]] &gt;=0, TRUE, FALSE)</f>
        <v>1</v>
      </c>
    </row>
    <row r="520" spans="1:11" x14ac:dyDescent="0.2">
      <c r="A520" t="s">
        <v>1681</v>
      </c>
      <c r="B520" t="s">
        <v>1060</v>
      </c>
      <c r="C520" s="9">
        <v>45818</v>
      </c>
      <c r="D520" s="9">
        <v>45820</v>
      </c>
      <c r="E520" t="s">
        <v>71</v>
      </c>
      <c r="F520" t="s">
        <v>737</v>
      </c>
      <c r="G520">
        <v>12</v>
      </c>
      <c r="H520">
        <v>114.12</v>
      </c>
      <c r="I520" t="s">
        <v>956</v>
      </c>
      <c r="K520" t="b">
        <f>IF(Table1[[#This Row],[dispatch_date]]-Table1[[#This Row],[order_date]] &gt;=0, TRUE, FALSE)</f>
        <v>1</v>
      </c>
    </row>
    <row r="521" spans="1:11" x14ac:dyDescent="0.2">
      <c r="A521" t="s">
        <v>1998</v>
      </c>
      <c r="B521" t="s">
        <v>1048</v>
      </c>
      <c r="C521" s="9">
        <v>45936</v>
      </c>
      <c r="D521" s="9">
        <v>45939</v>
      </c>
      <c r="E521" t="s">
        <v>80</v>
      </c>
      <c r="F521" t="s">
        <v>352</v>
      </c>
      <c r="G521">
        <v>6</v>
      </c>
      <c r="H521">
        <v>35.700000000000003</v>
      </c>
      <c r="I521" t="s">
        <v>912</v>
      </c>
      <c r="K521" t="b">
        <f>IF(Table1[[#This Row],[dispatch_date]]-Table1[[#This Row],[order_date]] &gt;=0, TRUE, FALSE)</f>
        <v>1</v>
      </c>
    </row>
    <row r="522" spans="1:11" x14ac:dyDescent="0.2">
      <c r="A522" t="s">
        <v>2606</v>
      </c>
      <c r="B522" t="s">
        <v>936</v>
      </c>
      <c r="C522" s="9">
        <v>45818</v>
      </c>
      <c r="D522" s="9">
        <v>45821</v>
      </c>
      <c r="E522" t="s">
        <v>36</v>
      </c>
      <c r="F522" t="s">
        <v>428</v>
      </c>
      <c r="G522">
        <v>72</v>
      </c>
      <c r="H522">
        <v>116.96</v>
      </c>
      <c r="I522" t="s">
        <v>938</v>
      </c>
      <c r="K522" t="b">
        <f>IF(Table1[[#This Row],[dispatch_date]]-Table1[[#This Row],[order_date]] &gt;=0, TRUE, FALSE)</f>
        <v>1</v>
      </c>
    </row>
    <row r="523" spans="1:11" x14ac:dyDescent="0.2">
      <c r="A523" t="s">
        <v>1288</v>
      </c>
      <c r="B523" t="s">
        <v>918</v>
      </c>
      <c r="C523" s="9">
        <v>45819</v>
      </c>
      <c r="D523" s="9">
        <v>45820</v>
      </c>
      <c r="E523" t="s">
        <v>99</v>
      </c>
      <c r="F523" t="s">
        <v>862</v>
      </c>
      <c r="G523">
        <v>24</v>
      </c>
      <c r="H523">
        <v>168.49</v>
      </c>
      <c r="I523" t="s">
        <v>912</v>
      </c>
      <c r="K523" t="b">
        <f>IF(Table1[[#This Row],[dispatch_date]]-Table1[[#This Row],[order_date]] &gt;=0, TRUE, FALSE)</f>
        <v>1</v>
      </c>
    </row>
    <row r="524" spans="1:11" x14ac:dyDescent="0.2">
      <c r="A524" t="s">
        <v>1388</v>
      </c>
      <c r="B524" t="s">
        <v>979</v>
      </c>
      <c r="C524" s="9">
        <v>45819</v>
      </c>
      <c r="D524" s="9">
        <v>45822</v>
      </c>
      <c r="E524" t="s">
        <v>25</v>
      </c>
      <c r="F524" t="s">
        <v>839</v>
      </c>
      <c r="G524">
        <v>72</v>
      </c>
      <c r="H524">
        <v>379.62</v>
      </c>
      <c r="I524" t="s">
        <v>927</v>
      </c>
      <c r="K524" t="b">
        <f>IF(Table1[[#This Row],[dispatch_date]]-Table1[[#This Row],[order_date]] &gt;=0, TRUE, FALSE)</f>
        <v>1</v>
      </c>
    </row>
    <row r="525" spans="1:11" x14ac:dyDescent="0.2">
      <c r="A525" t="s">
        <v>1574</v>
      </c>
      <c r="B525" t="s">
        <v>979</v>
      </c>
      <c r="C525" s="9">
        <v>45819</v>
      </c>
      <c r="D525" s="9">
        <v>45820</v>
      </c>
      <c r="E525" t="s">
        <v>93</v>
      </c>
      <c r="F525" t="s">
        <v>204</v>
      </c>
      <c r="G525">
        <v>48</v>
      </c>
      <c r="H525">
        <v>133.91999999999999</v>
      </c>
      <c r="I525" t="s">
        <v>927</v>
      </c>
      <c r="K525" t="b">
        <f>IF(Table1[[#This Row],[dispatch_date]]-Table1[[#This Row],[order_date]] &gt;=0, TRUE, FALSE)</f>
        <v>1</v>
      </c>
    </row>
    <row r="526" spans="1:11" x14ac:dyDescent="0.2">
      <c r="A526" t="s">
        <v>1956</v>
      </c>
      <c r="B526" t="s">
        <v>948</v>
      </c>
      <c r="C526" s="9">
        <v>45967</v>
      </c>
      <c r="D526" s="9">
        <v>45967</v>
      </c>
      <c r="E526" t="s">
        <v>110</v>
      </c>
      <c r="F526" t="s">
        <v>455</v>
      </c>
      <c r="G526">
        <v>6</v>
      </c>
      <c r="H526">
        <v>19.62</v>
      </c>
      <c r="I526" t="s">
        <v>938</v>
      </c>
      <c r="K526" t="b">
        <f>IF(Table1[[#This Row],[dispatch_date]]-Table1[[#This Row],[order_date]] &gt;=0, TRUE, FALSE)</f>
        <v>1</v>
      </c>
    </row>
    <row r="527" spans="1:11" x14ac:dyDescent="0.2">
      <c r="A527" t="s">
        <v>2006</v>
      </c>
      <c r="B527" t="s">
        <v>1049</v>
      </c>
      <c r="C527" s="9">
        <v>45819</v>
      </c>
      <c r="D527" s="9">
        <v>45819</v>
      </c>
      <c r="E527" t="s">
        <v>38</v>
      </c>
      <c r="F527" t="s">
        <v>889</v>
      </c>
      <c r="G527">
        <v>12</v>
      </c>
      <c r="H527">
        <v>61.2</v>
      </c>
      <c r="I527" t="s">
        <v>927</v>
      </c>
      <c r="K527" t="b">
        <f>IF(Table1[[#This Row],[dispatch_date]]-Table1[[#This Row],[order_date]] &gt;=0, TRUE, FALSE)</f>
        <v>1</v>
      </c>
    </row>
    <row r="528" spans="1:11" x14ac:dyDescent="0.2">
      <c r="A528" t="s">
        <v>1181</v>
      </c>
      <c r="B528" t="s">
        <v>1040</v>
      </c>
      <c r="C528" s="9">
        <v>45820</v>
      </c>
      <c r="D528" s="9">
        <v>45821</v>
      </c>
      <c r="E528" t="s">
        <v>25</v>
      </c>
      <c r="F528" t="s">
        <v>775</v>
      </c>
      <c r="G528">
        <v>6</v>
      </c>
      <c r="H528">
        <v>31.63</v>
      </c>
      <c r="I528" t="s">
        <v>916</v>
      </c>
      <c r="K528" t="b">
        <f>IF(Table1[[#This Row],[dispatch_date]]-Table1[[#This Row],[order_date]] &gt;=0, TRUE, FALSE)</f>
        <v>1</v>
      </c>
    </row>
    <row r="529" spans="1:11" x14ac:dyDescent="0.2">
      <c r="A529" t="s">
        <v>1365</v>
      </c>
      <c r="B529" t="s">
        <v>965</v>
      </c>
      <c r="C529" s="9">
        <v>45820</v>
      </c>
      <c r="D529" s="9">
        <v>45822</v>
      </c>
      <c r="E529" t="s">
        <v>82</v>
      </c>
      <c r="F529" t="s">
        <v>346</v>
      </c>
      <c r="G529">
        <v>48</v>
      </c>
      <c r="H529">
        <v>94.56</v>
      </c>
      <c r="I529" t="s">
        <v>956</v>
      </c>
      <c r="K529" t="b">
        <f>IF(Table1[[#This Row],[dispatch_date]]-Table1[[#This Row],[order_date]] &gt;=0, TRUE, FALSE)</f>
        <v>1</v>
      </c>
    </row>
    <row r="530" spans="1:11" x14ac:dyDescent="0.2">
      <c r="A530" t="s">
        <v>1926</v>
      </c>
      <c r="B530" t="s">
        <v>1055</v>
      </c>
      <c r="C530" s="9">
        <v>45820</v>
      </c>
      <c r="D530" s="9">
        <v>45823</v>
      </c>
      <c r="E530" t="s">
        <v>19</v>
      </c>
      <c r="G530">
        <v>72</v>
      </c>
      <c r="H530">
        <v>146.16</v>
      </c>
      <c r="I530" t="s">
        <v>938</v>
      </c>
      <c r="K530" t="b">
        <f>IF(Table1[[#This Row],[dispatch_date]]-Table1[[#This Row],[order_date]] &gt;=0, TRUE, FALSE)</f>
        <v>1</v>
      </c>
    </row>
    <row r="531" spans="1:11" x14ac:dyDescent="0.2">
      <c r="A531" t="s">
        <v>1985</v>
      </c>
      <c r="B531" t="s">
        <v>1076</v>
      </c>
      <c r="C531" s="9">
        <v>45820</v>
      </c>
      <c r="D531" s="9">
        <v>45822</v>
      </c>
      <c r="E531" t="s">
        <v>74</v>
      </c>
      <c r="F531" t="s">
        <v>860</v>
      </c>
      <c r="G531">
        <v>72</v>
      </c>
      <c r="H531">
        <v>154.80000000000001</v>
      </c>
      <c r="I531" t="s">
        <v>927</v>
      </c>
      <c r="K531" t="b">
        <f>IF(Table1[[#This Row],[dispatch_date]]-Table1[[#This Row],[order_date]] &gt;=0, TRUE, FALSE)</f>
        <v>1</v>
      </c>
    </row>
    <row r="532" spans="1:11" x14ac:dyDescent="0.2">
      <c r="A532" t="s">
        <v>2710</v>
      </c>
      <c r="B532" t="s">
        <v>968</v>
      </c>
      <c r="C532" s="9">
        <v>45820</v>
      </c>
      <c r="D532" s="9">
        <v>45821</v>
      </c>
      <c r="E532" t="s">
        <v>17</v>
      </c>
      <c r="F532" t="s">
        <v>699</v>
      </c>
      <c r="G532">
        <v>48</v>
      </c>
      <c r="H532">
        <v>287.52</v>
      </c>
      <c r="I532" t="s">
        <v>938</v>
      </c>
      <c r="K532" t="b">
        <f>IF(Table1[[#This Row],[dispatch_date]]-Table1[[#This Row],[order_date]] &gt;=0, TRUE, FALSE)</f>
        <v>1</v>
      </c>
    </row>
    <row r="533" spans="1:11" x14ac:dyDescent="0.2">
      <c r="A533" t="s">
        <v>1862</v>
      </c>
      <c r="B533" t="s">
        <v>1004</v>
      </c>
      <c r="C533" s="9">
        <v>45821</v>
      </c>
      <c r="D533" s="9">
        <v>45823</v>
      </c>
      <c r="E533" t="s">
        <v>30</v>
      </c>
      <c r="F533" t="s">
        <v>712</v>
      </c>
      <c r="G533">
        <v>24</v>
      </c>
      <c r="H533">
        <v>57.6</v>
      </c>
      <c r="I533" t="s">
        <v>927</v>
      </c>
      <c r="K533" t="b">
        <f>IF(Table1[[#This Row],[dispatch_date]]-Table1[[#This Row],[order_date]] &gt;=0, TRUE, FALSE)</f>
        <v>1</v>
      </c>
    </row>
    <row r="534" spans="1:11" x14ac:dyDescent="0.2">
      <c r="A534" t="s">
        <v>2097</v>
      </c>
      <c r="B534" t="s">
        <v>906</v>
      </c>
      <c r="C534" s="9">
        <v>45821</v>
      </c>
      <c r="D534" s="9">
        <v>45824</v>
      </c>
      <c r="E534" t="s">
        <v>40</v>
      </c>
      <c r="F534" t="s">
        <v>771</v>
      </c>
      <c r="G534">
        <v>24</v>
      </c>
      <c r="H534">
        <v>93.36</v>
      </c>
      <c r="I534" t="s">
        <v>938</v>
      </c>
      <c r="K534" t="b">
        <f>IF(Table1[[#This Row],[dispatch_date]]-Table1[[#This Row],[order_date]] &gt;=0, TRUE, FALSE)</f>
        <v>1</v>
      </c>
    </row>
    <row r="535" spans="1:11" x14ac:dyDescent="0.2">
      <c r="A535" t="s">
        <v>2785</v>
      </c>
      <c r="B535" t="s">
        <v>945</v>
      </c>
      <c r="C535" s="9">
        <v>45821</v>
      </c>
      <c r="D535" s="9">
        <v>45824</v>
      </c>
      <c r="E535" t="s">
        <v>40</v>
      </c>
      <c r="F535" t="s">
        <v>551</v>
      </c>
      <c r="G535">
        <v>36</v>
      </c>
      <c r="H535">
        <v>133.04</v>
      </c>
      <c r="I535" t="s">
        <v>938</v>
      </c>
      <c r="K535" t="b">
        <f>IF(Table1[[#This Row],[dispatch_date]]-Table1[[#This Row],[order_date]] &gt;=0, TRUE, FALSE)</f>
        <v>1</v>
      </c>
    </row>
    <row r="536" spans="1:11" x14ac:dyDescent="0.2">
      <c r="A536" t="s">
        <v>2839</v>
      </c>
      <c r="B536" t="s">
        <v>932</v>
      </c>
      <c r="C536" s="9">
        <v>45821</v>
      </c>
      <c r="D536" s="9">
        <v>45824</v>
      </c>
      <c r="E536" t="s">
        <v>118</v>
      </c>
      <c r="G536">
        <v>24</v>
      </c>
      <c r="H536">
        <v>299.58999999999997</v>
      </c>
      <c r="I536" t="s">
        <v>916</v>
      </c>
      <c r="K536" t="b">
        <f>IF(Table1[[#This Row],[dispatch_date]]-Table1[[#This Row],[order_date]] &gt;=0, TRUE, FALSE)</f>
        <v>1</v>
      </c>
    </row>
    <row r="537" spans="1:11" x14ac:dyDescent="0.2">
      <c r="A537" t="s">
        <v>1239</v>
      </c>
      <c r="B537" t="s">
        <v>960</v>
      </c>
      <c r="C537" s="9">
        <v>45822</v>
      </c>
      <c r="D537" s="9">
        <v>45825</v>
      </c>
      <c r="E537" t="s">
        <v>129</v>
      </c>
      <c r="F537" t="s">
        <v>660</v>
      </c>
      <c r="G537">
        <v>6</v>
      </c>
      <c r="H537">
        <v>28.5</v>
      </c>
      <c r="I537" t="s">
        <v>938</v>
      </c>
      <c r="K537" t="b">
        <f>IF(Table1[[#This Row],[dispatch_date]]-Table1[[#This Row],[order_date]] &gt;=0, TRUE, FALSE)</f>
        <v>1</v>
      </c>
    </row>
    <row r="538" spans="1:11" x14ac:dyDescent="0.2">
      <c r="A538" t="s">
        <v>1350</v>
      </c>
      <c r="B538" t="s">
        <v>976</v>
      </c>
      <c r="C538" s="9">
        <v>45822</v>
      </c>
      <c r="D538" s="9">
        <v>45824</v>
      </c>
      <c r="E538" t="s">
        <v>17</v>
      </c>
      <c r="F538" t="s">
        <v>458</v>
      </c>
      <c r="G538">
        <v>72</v>
      </c>
      <c r="H538">
        <v>431.28</v>
      </c>
      <c r="I538" t="s">
        <v>1079</v>
      </c>
      <c r="K538" t="b">
        <f>IF(Table1[[#This Row],[dispatch_date]]-Table1[[#This Row],[order_date]] &gt;=0, TRUE, FALSE)</f>
        <v>1</v>
      </c>
    </row>
    <row r="539" spans="1:11" x14ac:dyDescent="0.2">
      <c r="A539" t="s">
        <v>1417</v>
      </c>
      <c r="B539" t="s">
        <v>939</v>
      </c>
      <c r="C539" s="9">
        <v>45822</v>
      </c>
      <c r="D539" s="9">
        <v>45822</v>
      </c>
      <c r="E539" t="s">
        <v>40</v>
      </c>
      <c r="F539" t="s">
        <v>261</v>
      </c>
      <c r="G539">
        <v>24</v>
      </c>
      <c r="H539">
        <v>93.36</v>
      </c>
      <c r="I539" t="s">
        <v>916</v>
      </c>
      <c r="K539" t="b">
        <f>IF(Table1[[#This Row],[dispatch_date]]-Table1[[#This Row],[order_date]] &gt;=0, TRUE, FALSE)</f>
        <v>1</v>
      </c>
    </row>
    <row r="540" spans="1:11" x14ac:dyDescent="0.2">
      <c r="A540" t="s">
        <v>2081</v>
      </c>
      <c r="B540" t="s">
        <v>910</v>
      </c>
      <c r="C540" s="9">
        <v>45822</v>
      </c>
      <c r="D540" s="9">
        <v>45824</v>
      </c>
      <c r="E540" t="s">
        <v>28</v>
      </c>
      <c r="F540" t="s">
        <v>788</v>
      </c>
      <c r="G540">
        <v>72</v>
      </c>
      <c r="H540">
        <v>413.28</v>
      </c>
      <c r="I540" t="s">
        <v>916</v>
      </c>
      <c r="K540" t="b">
        <f>IF(Table1[[#This Row],[dispatch_date]]-Table1[[#This Row],[order_date]] &gt;=0, TRUE, FALSE)</f>
        <v>1</v>
      </c>
    </row>
    <row r="541" spans="1:11" x14ac:dyDescent="0.2">
      <c r="A541" t="s">
        <v>1469</v>
      </c>
      <c r="B541" t="s">
        <v>998</v>
      </c>
      <c r="C541" s="9">
        <v>45823</v>
      </c>
      <c r="D541" s="9">
        <v>45824</v>
      </c>
      <c r="E541" t="s">
        <v>118</v>
      </c>
      <c r="F541" t="s">
        <v>288</v>
      </c>
      <c r="G541">
        <v>24</v>
      </c>
      <c r="H541">
        <v>299.58999999999997</v>
      </c>
      <c r="I541" t="s">
        <v>938</v>
      </c>
      <c r="K541" t="b">
        <f>IF(Table1[[#This Row],[dispatch_date]]-Table1[[#This Row],[order_date]] &gt;=0, TRUE, FALSE)</f>
        <v>1</v>
      </c>
    </row>
    <row r="542" spans="1:11" x14ac:dyDescent="0.2">
      <c r="A542" t="s">
        <v>1523</v>
      </c>
      <c r="B542" t="s">
        <v>971</v>
      </c>
      <c r="C542" s="9">
        <v>45823</v>
      </c>
      <c r="D542" s="9">
        <v>45823</v>
      </c>
      <c r="E542" t="s">
        <v>63</v>
      </c>
      <c r="F542" t="s">
        <v>608</v>
      </c>
      <c r="G542">
        <v>72</v>
      </c>
      <c r="H542">
        <v>705.6</v>
      </c>
      <c r="I542" t="s">
        <v>1079</v>
      </c>
      <c r="K542" t="b">
        <f>IF(Table1[[#This Row],[dispatch_date]]-Table1[[#This Row],[order_date]] &gt;=0, TRUE, FALSE)</f>
        <v>1</v>
      </c>
    </row>
    <row r="543" spans="1:11" x14ac:dyDescent="0.2">
      <c r="A543" t="s">
        <v>1648</v>
      </c>
      <c r="B543" t="s">
        <v>906</v>
      </c>
      <c r="C543" s="9">
        <v>45823</v>
      </c>
      <c r="D543" s="9">
        <v>45823</v>
      </c>
      <c r="E543" t="s">
        <v>40</v>
      </c>
      <c r="F543" t="s">
        <v>549</v>
      </c>
      <c r="G543">
        <v>72</v>
      </c>
      <c r="H543">
        <v>280.08</v>
      </c>
      <c r="I543" t="s">
        <v>938</v>
      </c>
      <c r="K543" t="b">
        <f>IF(Table1[[#This Row],[dispatch_date]]-Table1[[#This Row],[order_date]] &gt;=0, TRUE, FALSE)</f>
        <v>1</v>
      </c>
    </row>
    <row r="544" spans="1:11" x14ac:dyDescent="0.2">
      <c r="A544" t="s">
        <v>2446</v>
      </c>
      <c r="B544" t="s">
        <v>914</v>
      </c>
      <c r="C544" s="9">
        <v>45823</v>
      </c>
      <c r="D544" s="9">
        <v>45825</v>
      </c>
      <c r="E544" t="s">
        <v>50</v>
      </c>
      <c r="F544" t="s">
        <v>558</v>
      </c>
      <c r="G544">
        <v>12</v>
      </c>
      <c r="H544">
        <v>73.2</v>
      </c>
      <c r="I544" t="s">
        <v>916</v>
      </c>
      <c r="K544" t="b">
        <f>IF(Table1[[#This Row],[dispatch_date]]-Table1[[#This Row],[order_date]] &gt;=0, TRUE, FALSE)</f>
        <v>1</v>
      </c>
    </row>
    <row r="545" spans="1:11" x14ac:dyDescent="0.2">
      <c r="A545" t="s">
        <v>2473</v>
      </c>
      <c r="B545" t="s">
        <v>981</v>
      </c>
      <c r="C545" s="9">
        <v>45823</v>
      </c>
      <c r="D545" s="9">
        <v>45826</v>
      </c>
      <c r="E545" t="s">
        <v>116</v>
      </c>
      <c r="F545" t="s">
        <v>540</v>
      </c>
      <c r="G545">
        <v>72</v>
      </c>
      <c r="H545">
        <v>348.48</v>
      </c>
      <c r="I545" t="s">
        <v>956</v>
      </c>
      <c r="K545" t="b">
        <f>IF(Table1[[#This Row],[dispatch_date]]-Table1[[#This Row],[order_date]] &gt;=0, TRUE, FALSE)</f>
        <v>1</v>
      </c>
    </row>
    <row r="546" spans="1:11" x14ac:dyDescent="0.2">
      <c r="A546" t="s">
        <v>2265</v>
      </c>
      <c r="B546" t="s">
        <v>960</v>
      </c>
      <c r="C546" s="9">
        <v>45824</v>
      </c>
      <c r="D546" s="9">
        <v>45826</v>
      </c>
      <c r="E546" t="s">
        <v>28</v>
      </c>
      <c r="F546" t="s">
        <v>329</v>
      </c>
      <c r="G546">
        <v>36</v>
      </c>
      <c r="H546">
        <v>206.64</v>
      </c>
      <c r="I546" t="s">
        <v>938</v>
      </c>
      <c r="K546" t="b">
        <f>IF(Table1[[#This Row],[dispatch_date]]-Table1[[#This Row],[order_date]] &gt;=0, TRUE, FALSE)</f>
        <v>1</v>
      </c>
    </row>
    <row r="547" spans="1:11" x14ac:dyDescent="0.2">
      <c r="A547" t="s">
        <v>2333</v>
      </c>
      <c r="B547" t="s">
        <v>981</v>
      </c>
      <c r="C547" s="9">
        <v>45824</v>
      </c>
      <c r="D547" s="9">
        <v>45827</v>
      </c>
      <c r="E547" t="s">
        <v>71</v>
      </c>
      <c r="F547" t="s">
        <v>737</v>
      </c>
      <c r="G547">
        <v>6</v>
      </c>
      <c r="H547">
        <v>57.06</v>
      </c>
      <c r="I547" t="s">
        <v>916</v>
      </c>
      <c r="K547" t="b">
        <f>IF(Table1[[#This Row],[dispatch_date]]-Table1[[#This Row],[order_date]] &gt;=0, TRUE, FALSE)</f>
        <v>1</v>
      </c>
    </row>
    <row r="548" spans="1:11" x14ac:dyDescent="0.2">
      <c r="A548" t="s">
        <v>2372</v>
      </c>
      <c r="B548" t="s">
        <v>1076</v>
      </c>
      <c r="C548" s="9">
        <v>45824</v>
      </c>
      <c r="D548" s="9">
        <v>45827</v>
      </c>
      <c r="E548" t="s">
        <v>14</v>
      </c>
      <c r="F548" t="s">
        <v>375</v>
      </c>
      <c r="G548">
        <v>24</v>
      </c>
      <c r="H548">
        <v>87.6</v>
      </c>
      <c r="I548" t="s">
        <v>912</v>
      </c>
      <c r="K548" t="b">
        <f>IF(Table1[[#This Row],[dispatch_date]]-Table1[[#This Row],[order_date]] &gt;=0, TRUE, FALSE)</f>
        <v>1</v>
      </c>
    </row>
    <row r="549" spans="1:11" x14ac:dyDescent="0.2">
      <c r="A549" t="s">
        <v>1095</v>
      </c>
      <c r="B549" t="s">
        <v>939</v>
      </c>
      <c r="C549" s="9">
        <v>45825</v>
      </c>
      <c r="D549" s="9">
        <v>45826</v>
      </c>
      <c r="E549" t="s">
        <v>65</v>
      </c>
      <c r="F549" t="s">
        <v>616</v>
      </c>
      <c r="G549">
        <v>72</v>
      </c>
      <c r="H549">
        <v>955.44</v>
      </c>
      <c r="I549" t="s">
        <v>916</v>
      </c>
      <c r="K549" t="b">
        <f>IF(Table1[[#This Row],[dispatch_date]]-Table1[[#This Row],[order_date]] &gt;=0, TRUE, FALSE)</f>
        <v>1</v>
      </c>
    </row>
    <row r="550" spans="1:11" x14ac:dyDescent="0.2">
      <c r="A550" t="s">
        <v>1981</v>
      </c>
      <c r="B550" t="s">
        <v>951</v>
      </c>
      <c r="C550" s="9">
        <v>45825</v>
      </c>
      <c r="D550" s="9">
        <v>45828</v>
      </c>
      <c r="E550" t="s">
        <v>103</v>
      </c>
      <c r="G550">
        <v>6</v>
      </c>
      <c r="H550">
        <v>43.26</v>
      </c>
      <c r="I550" t="s">
        <v>956</v>
      </c>
      <c r="K550" t="b">
        <f>IF(Table1[[#This Row],[dispatch_date]]-Table1[[#This Row],[order_date]] &gt;=0, TRUE, FALSE)</f>
        <v>1</v>
      </c>
    </row>
    <row r="551" spans="1:11" x14ac:dyDescent="0.2">
      <c r="A551" t="s">
        <v>2273</v>
      </c>
      <c r="B551" t="s">
        <v>925</v>
      </c>
      <c r="C551" s="9">
        <v>45825</v>
      </c>
      <c r="D551" s="9">
        <v>45826</v>
      </c>
      <c r="E551" t="s">
        <v>78</v>
      </c>
      <c r="F551" t="s">
        <v>273</v>
      </c>
      <c r="G551">
        <v>72</v>
      </c>
      <c r="H551">
        <v>230.4</v>
      </c>
      <c r="I551" t="s">
        <v>927</v>
      </c>
      <c r="K551" t="b">
        <f>IF(Table1[[#This Row],[dispatch_date]]-Table1[[#This Row],[order_date]] &gt;=0, TRUE, FALSE)</f>
        <v>1</v>
      </c>
    </row>
    <row r="552" spans="1:11" x14ac:dyDescent="0.2">
      <c r="A552" t="s">
        <v>2726</v>
      </c>
      <c r="B552" t="s">
        <v>962</v>
      </c>
      <c r="C552" s="9">
        <v>45825</v>
      </c>
      <c r="D552" s="9">
        <v>45827</v>
      </c>
      <c r="E552" t="s">
        <v>44</v>
      </c>
      <c r="F552" t="s">
        <v>324</v>
      </c>
      <c r="G552">
        <v>72</v>
      </c>
      <c r="H552">
        <v>435.6</v>
      </c>
      <c r="I552" t="s">
        <v>956</v>
      </c>
      <c r="K552" t="b">
        <f>IF(Table1[[#This Row],[dispatch_date]]-Table1[[#This Row],[order_date]] &gt;=0, TRUE, FALSE)</f>
        <v>1</v>
      </c>
    </row>
    <row r="553" spans="1:11" x14ac:dyDescent="0.2">
      <c r="A553" t="s">
        <v>1149</v>
      </c>
      <c r="B553" t="s">
        <v>929</v>
      </c>
      <c r="C553" s="9">
        <v>45826</v>
      </c>
      <c r="D553" s="9">
        <v>45828</v>
      </c>
      <c r="E553" t="s">
        <v>101</v>
      </c>
      <c r="F553" t="s">
        <v>773</v>
      </c>
      <c r="G553">
        <v>24</v>
      </c>
      <c r="H553">
        <v>80.64</v>
      </c>
      <c r="I553" t="s">
        <v>912</v>
      </c>
      <c r="K553" t="b">
        <f>IF(Table1[[#This Row],[dispatch_date]]-Table1[[#This Row],[order_date]] &gt;=0, TRUE, FALSE)</f>
        <v>1</v>
      </c>
    </row>
    <row r="554" spans="1:11" x14ac:dyDescent="0.2">
      <c r="A554" t="s">
        <v>1760</v>
      </c>
      <c r="B554" t="s">
        <v>991</v>
      </c>
      <c r="C554" s="9">
        <v>45826</v>
      </c>
      <c r="D554" s="9">
        <v>45828</v>
      </c>
      <c r="E554" t="s">
        <v>69</v>
      </c>
      <c r="F554" t="s">
        <v>846</v>
      </c>
      <c r="G554">
        <v>48</v>
      </c>
      <c r="H554">
        <v>256.32</v>
      </c>
      <c r="I554" t="s">
        <v>956</v>
      </c>
      <c r="K554" t="b">
        <f>IF(Table1[[#This Row],[dispatch_date]]-Table1[[#This Row],[order_date]] &gt;=0, TRUE, FALSE)</f>
        <v>1</v>
      </c>
    </row>
    <row r="555" spans="1:11" x14ac:dyDescent="0.2">
      <c r="A555" t="s">
        <v>2585</v>
      </c>
      <c r="B555" t="s">
        <v>951</v>
      </c>
      <c r="C555" s="9">
        <v>45826</v>
      </c>
      <c r="D555" s="9">
        <v>45826</v>
      </c>
      <c r="E555" t="s">
        <v>84</v>
      </c>
      <c r="F555" t="s">
        <v>806</v>
      </c>
      <c r="G555">
        <v>12</v>
      </c>
      <c r="H555">
        <v>25.42</v>
      </c>
      <c r="I555" t="s">
        <v>1079</v>
      </c>
      <c r="K555" t="b">
        <f>IF(Table1[[#This Row],[dispatch_date]]-Table1[[#This Row],[order_date]] &gt;=0, TRUE, FALSE)</f>
        <v>1</v>
      </c>
    </row>
    <row r="556" spans="1:11" x14ac:dyDescent="0.2">
      <c r="A556" t="s">
        <v>1269</v>
      </c>
      <c r="B556" t="s">
        <v>960</v>
      </c>
      <c r="C556" s="9">
        <v>45827</v>
      </c>
      <c r="D556" s="9">
        <v>45830</v>
      </c>
      <c r="E556" t="s">
        <v>95</v>
      </c>
      <c r="F556" t="s">
        <v>318</v>
      </c>
      <c r="G556">
        <v>24</v>
      </c>
      <c r="H556">
        <v>89.83</v>
      </c>
      <c r="I556" t="s">
        <v>938</v>
      </c>
      <c r="K556" t="b">
        <f>IF(Table1[[#This Row],[dispatch_date]]-Table1[[#This Row],[order_date]] &gt;=0, TRUE, FALSE)</f>
        <v>1</v>
      </c>
    </row>
    <row r="557" spans="1:11" x14ac:dyDescent="0.2">
      <c r="A557" t="s">
        <v>2008</v>
      </c>
      <c r="B557" t="s">
        <v>1055</v>
      </c>
      <c r="C557" s="9">
        <v>45827</v>
      </c>
      <c r="D557" s="9">
        <v>45827</v>
      </c>
      <c r="E557" t="s">
        <v>127</v>
      </c>
      <c r="F557" t="s">
        <v>258</v>
      </c>
      <c r="G557">
        <v>6</v>
      </c>
      <c r="H557">
        <v>24.6</v>
      </c>
      <c r="I557" t="s">
        <v>938</v>
      </c>
      <c r="K557" t="b">
        <f>IF(Table1[[#This Row],[dispatch_date]]-Table1[[#This Row],[order_date]] &gt;=0, TRUE, FALSE)</f>
        <v>1</v>
      </c>
    </row>
    <row r="558" spans="1:11" x14ac:dyDescent="0.2">
      <c r="A558" t="s">
        <v>2324</v>
      </c>
      <c r="B558" t="s">
        <v>922</v>
      </c>
      <c r="C558" s="9">
        <v>45827</v>
      </c>
      <c r="D558" s="9">
        <v>45827</v>
      </c>
      <c r="E558" t="s">
        <v>48</v>
      </c>
      <c r="F558" t="s">
        <v>604</v>
      </c>
      <c r="G558">
        <v>24</v>
      </c>
      <c r="H558">
        <v>161.76</v>
      </c>
      <c r="I558" t="s">
        <v>912</v>
      </c>
      <c r="K558" t="b">
        <f>IF(Table1[[#This Row],[dispatch_date]]-Table1[[#This Row],[order_date]] &gt;=0, TRUE, FALSE)</f>
        <v>1</v>
      </c>
    </row>
    <row r="559" spans="1:11" x14ac:dyDescent="0.2">
      <c r="A559" t="s">
        <v>2440</v>
      </c>
      <c r="B559" t="s">
        <v>965</v>
      </c>
      <c r="C559" s="9">
        <v>45827</v>
      </c>
      <c r="D559" s="9">
        <v>45827</v>
      </c>
      <c r="E559" t="s">
        <v>114</v>
      </c>
      <c r="F559" t="s">
        <v>814</v>
      </c>
      <c r="G559">
        <v>24</v>
      </c>
      <c r="H559">
        <v>118.8</v>
      </c>
      <c r="I559" t="s">
        <v>956</v>
      </c>
      <c r="K559" t="b">
        <f>IF(Table1[[#This Row],[dispatch_date]]-Table1[[#This Row],[order_date]] &gt;=0, TRUE, FALSE)</f>
        <v>1</v>
      </c>
    </row>
    <row r="560" spans="1:11" x14ac:dyDescent="0.2">
      <c r="A560" t="s">
        <v>1342</v>
      </c>
      <c r="B560" t="s">
        <v>948</v>
      </c>
      <c r="C560" s="9">
        <v>45828</v>
      </c>
      <c r="D560" s="9">
        <v>45831</v>
      </c>
      <c r="E560" t="s">
        <v>99</v>
      </c>
      <c r="G560">
        <v>24</v>
      </c>
      <c r="H560">
        <v>177.36</v>
      </c>
      <c r="I560" t="s">
        <v>938</v>
      </c>
      <c r="K560" t="b">
        <f>IF(Table1[[#This Row],[dispatch_date]]-Table1[[#This Row],[order_date]] &gt;=0, TRUE, FALSE)</f>
        <v>1</v>
      </c>
    </row>
    <row r="561" spans="1:11" x14ac:dyDescent="0.2">
      <c r="A561" t="s">
        <v>1384</v>
      </c>
      <c r="B561" t="s">
        <v>1031</v>
      </c>
      <c r="C561" s="9">
        <v>45828</v>
      </c>
      <c r="D561" s="9">
        <v>45831</v>
      </c>
      <c r="E561" t="s">
        <v>80</v>
      </c>
      <c r="F561" t="s">
        <v>352</v>
      </c>
      <c r="G561">
        <v>6</v>
      </c>
      <c r="H561">
        <v>35.700000000000003</v>
      </c>
      <c r="I561" t="s">
        <v>956</v>
      </c>
      <c r="K561" t="b">
        <f>IF(Table1[[#This Row],[dispatch_date]]-Table1[[#This Row],[order_date]] &gt;=0, TRUE, FALSE)</f>
        <v>1</v>
      </c>
    </row>
    <row r="562" spans="1:11" x14ac:dyDescent="0.2">
      <c r="A562" t="s">
        <v>2283</v>
      </c>
      <c r="B562" t="s">
        <v>1064</v>
      </c>
      <c r="C562" s="9">
        <v>45828</v>
      </c>
      <c r="D562" s="9"/>
      <c r="E562" t="s">
        <v>42</v>
      </c>
      <c r="F562" t="s">
        <v>282</v>
      </c>
      <c r="G562">
        <v>24</v>
      </c>
      <c r="H562">
        <v>78.48</v>
      </c>
      <c r="I562" t="s">
        <v>1079</v>
      </c>
      <c r="K562" t="b">
        <f>IF(Table1[[#This Row],[dispatch_date]]-Table1[[#This Row],[order_date]] &gt;=0, TRUE, FALSE)</f>
        <v>0</v>
      </c>
    </row>
    <row r="563" spans="1:11" x14ac:dyDescent="0.2">
      <c r="A563" t="s">
        <v>2332</v>
      </c>
      <c r="B563" t="s">
        <v>1042</v>
      </c>
      <c r="C563" s="9">
        <v>45828</v>
      </c>
      <c r="D563" s="9">
        <v>45831</v>
      </c>
      <c r="E563" t="s">
        <v>93</v>
      </c>
      <c r="F563" t="s">
        <v>853</v>
      </c>
      <c r="G563">
        <v>12</v>
      </c>
      <c r="H563">
        <v>31.81</v>
      </c>
      <c r="I563" t="s">
        <v>1079</v>
      </c>
      <c r="K563" t="b">
        <f>IF(Table1[[#This Row],[dispatch_date]]-Table1[[#This Row],[order_date]] &gt;=0, TRUE, FALSE)</f>
        <v>1</v>
      </c>
    </row>
    <row r="564" spans="1:11" x14ac:dyDescent="0.2">
      <c r="A564" t="s">
        <v>1110</v>
      </c>
      <c r="B564" t="s">
        <v>1077</v>
      </c>
      <c r="C564" s="9">
        <v>45829</v>
      </c>
      <c r="D564" s="9">
        <v>45830</v>
      </c>
      <c r="E564" t="s">
        <v>114</v>
      </c>
      <c r="F564" t="s">
        <v>654</v>
      </c>
      <c r="G564">
        <v>6</v>
      </c>
      <c r="H564">
        <v>29.7</v>
      </c>
      <c r="I564" t="s">
        <v>1079</v>
      </c>
      <c r="K564" t="b">
        <f>IF(Table1[[#This Row],[dispatch_date]]-Table1[[#This Row],[order_date]] &gt;=0, TRUE, FALSE)</f>
        <v>1</v>
      </c>
    </row>
    <row r="565" spans="1:11" x14ac:dyDescent="0.2">
      <c r="A565" t="s">
        <v>1241</v>
      </c>
      <c r="B565" t="s">
        <v>1055</v>
      </c>
      <c r="C565" s="9">
        <v>45829</v>
      </c>
      <c r="D565" s="9">
        <v>45831</v>
      </c>
      <c r="E565" t="s">
        <v>112</v>
      </c>
      <c r="F565" t="s">
        <v>677</v>
      </c>
      <c r="G565">
        <v>6</v>
      </c>
      <c r="H565">
        <v>34.26</v>
      </c>
      <c r="I565" t="s">
        <v>938</v>
      </c>
      <c r="K565" t="b">
        <f>IF(Table1[[#This Row],[dispatch_date]]-Table1[[#This Row],[order_date]] &gt;=0, TRUE, FALSE)</f>
        <v>1</v>
      </c>
    </row>
    <row r="566" spans="1:11" x14ac:dyDescent="0.2">
      <c r="A566" t="s">
        <v>1285</v>
      </c>
      <c r="B566" t="s">
        <v>1072</v>
      </c>
      <c r="C566" s="9">
        <v>45829</v>
      </c>
      <c r="D566" s="9">
        <v>45832</v>
      </c>
      <c r="E566" t="s">
        <v>86</v>
      </c>
      <c r="F566" t="s">
        <v>723</v>
      </c>
      <c r="G566">
        <v>12</v>
      </c>
      <c r="H566">
        <v>38.28</v>
      </c>
      <c r="I566" t="s">
        <v>956</v>
      </c>
      <c r="K566" t="b">
        <f>IF(Table1[[#This Row],[dispatch_date]]-Table1[[#This Row],[order_date]] &gt;=0, TRUE, FALSE)</f>
        <v>1</v>
      </c>
    </row>
    <row r="567" spans="1:11" x14ac:dyDescent="0.2">
      <c r="A567" t="s">
        <v>1343</v>
      </c>
      <c r="B567" t="s">
        <v>1049</v>
      </c>
      <c r="C567" s="9">
        <v>45829</v>
      </c>
      <c r="D567" s="9">
        <v>45832</v>
      </c>
      <c r="E567" t="s">
        <v>101</v>
      </c>
      <c r="F567" t="s">
        <v>573</v>
      </c>
      <c r="G567">
        <v>12</v>
      </c>
      <c r="H567">
        <v>40.32</v>
      </c>
      <c r="I567" t="s">
        <v>938</v>
      </c>
      <c r="K567" t="b">
        <f>IF(Table1[[#This Row],[dispatch_date]]-Table1[[#This Row],[order_date]] &gt;=0, TRUE, FALSE)</f>
        <v>1</v>
      </c>
    </row>
    <row r="568" spans="1:11" x14ac:dyDescent="0.2">
      <c r="A568" t="s">
        <v>2105</v>
      </c>
      <c r="B568" t="s">
        <v>1001</v>
      </c>
      <c r="C568" s="9">
        <v>45829</v>
      </c>
      <c r="D568" s="9">
        <v>45830</v>
      </c>
      <c r="E568" t="s">
        <v>19</v>
      </c>
      <c r="F568" t="s">
        <v>369</v>
      </c>
      <c r="G568">
        <v>72</v>
      </c>
      <c r="H568">
        <v>146.16</v>
      </c>
      <c r="I568" t="s">
        <v>916</v>
      </c>
      <c r="K568" t="b">
        <f>IF(Table1[[#This Row],[dispatch_date]]-Table1[[#This Row],[order_date]] &gt;=0, TRUE, FALSE)</f>
        <v>1</v>
      </c>
    </row>
    <row r="569" spans="1:11" x14ac:dyDescent="0.2">
      <c r="A569" t="s">
        <v>2218</v>
      </c>
      <c r="B569" t="s">
        <v>906</v>
      </c>
      <c r="C569" s="9">
        <v>45829</v>
      </c>
      <c r="D569" s="9">
        <v>45832</v>
      </c>
      <c r="E569" t="s">
        <v>50</v>
      </c>
      <c r="G569">
        <v>72</v>
      </c>
      <c r="H569">
        <v>439.2</v>
      </c>
      <c r="I569" t="s">
        <v>938</v>
      </c>
      <c r="K569" t="b">
        <f>IF(Table1[[#This Row],[dispatch_date]]-Table1[[#This Row],[order_date]] &gt;=0, TRUE, FALSE)</f>
        <v>1</v>
      </c>
    </row>
    <row r="570" spans="1:11" x14ac:dyDescent="0.2">
      <c r="A570" t="s">
        <v>2802</v>
      </c>
      <c r="B570" t="s">
        <v>1034</v>
      </c>
      <c r="C570" s="9">
        <v>45829</v>
      </c>
      <c r="D570" s="9">
        <v>45830</v>
      </c>
      <c r="E570" t="s">
        <v>65</v>
      </c>
      <c r="F570" t="s">
        <v>807</v>
      </c>
      <c r="G570">
        <v>24</v>
      </c>
      <c r="H570">
        <v>302.56</v>
      </c>
      <c r="I570" t="s">
        <v>956</v>
      </c>
      <c r="K570" t="b">
        <f>IF(Table1[[#This Row],[dispatch_date]]-Table1[[#This Row],[order_date]] &gt;=0, TRUE, FALSE)</f>
        <v>1</v>
      </c>
    </row>
    <row r="571" spans="1:11" x14ac:dyDescent="0.2">
      <c r="A571" t="s">
        <v>1513</v>
      </c>
      <c r="B571" t="s">
        <v>918</v>
      </c>
      <c r="C571" s="9">
        <v>45830</v>
      </c>
      <c r="D571" s="9">
        <v>45833</v>
      </c>
      <c r="E571" t="s">
        <v>101</v>
      </c>
      <c r="F571" t="s">
        <v>573</v>
      </c>
      <c r="G571">
        <v>72</v>
      </c>
      <c r="H571">
        <v>241.92</v>
      </c>
      <c r="I571" t="s">
        <v>912</v>
      </c>
      <c r="K571" t="b">
        <f>IF(Table1[[#This Row],[dispatch_date]]-Table1[[#This Row],[order_date]] &gt;=0, TRUE, FALSE)</f>
        <v>1</v>
      </c>
    </row>
    <row r="572" spans="1:11" x14ac:dyDescent="0.2">
      <c r="A572" t="s">
        <v>1887</v>
      </c>
      <c r="B572" t="s">
        <v>1076</v>
      </c>
      <c r="C572" s="9">
        <v>45830</v>
      </c>
      <c r="D572" s="9">
        <v>45833</v>
      </c>
      <c r="E572" t="s">
        <v>54</v>
      </c>
      <c r="F572" t="s">
        <v>229</v>
      </c>
      <c r="G572">
        <v>24</v>
      </c>
      <c r="H572">
        <v>101</v>
      </c>
      <c r="I572" t="s">
        <v>927</v>
      </c>
      <c r="K572" t="b">
        <f>IF(Table1[[#This Row],[dispatch_date]]-Table1[[#This Row],[order_date]] &gt;=0, TRUE, FALSE)</f>
        <v>1</v>
      </c>
    </row>
    <row r="573" spans="1:11" x14ac:dyDescent="0.2">
      <c r="A573" t="s">
        <v>2093</v>
      </c>
      <c r="B573" t="s">
        <v>973</v>
      </c>
      <c r="C573" s="9">
        <v>45830</v>
      </c>
      <c r="D573" s="9">
        <v>45831</v>
      </c>
      <c r="E573" t="s">
        <v>19</v>
      </c>
      <c r="F573" t="s">
        <v>417</v>
      </c>
      <c r="G573">
        <v>72</v>
      </c>
      <c r="H573">
        <v>146.16</v>
      </c>
      <c r="I573" t="s">
        <v>1079</v>
      </c>
      <c r="K573" t="b">
        <f>IF(Table1[[#This Row],[dispatch_date]]-Table1[[#This Row],[order_date]] &gt;=0, TRUE, FALSE)</f>
        <v>1</v>
      </c>
    </row>
    <row r="574" spans="1:11" x14ac:dyDescent="0.2">
      <c r="A574" t="s">
        <v>2466</v>
      </c>
      <c r="B574" t="s">
        <v>1049</v>
      </c>
      <c r="C574" s="9">
        <v>45831</v>
      </c>
      <c r="D574" s="9">
        <v>45832</v>
      </c>
      <c r="E574" t="s">
        <v>125</v>
      </c>
      <c r="F574" t="s">
        <v>736</v>
      </c>
      <c r="G574">
        <v>24</v>
      </c>
      <c r="H574">
        <v>183.12</v>
      </c>
      <c r="I574" t="s">
        <v>938</v>
      </c>
      <c r="K574" t="b">
        <f>IF(Table1[[#This Row],[dispatch_date]]-Table1[[#This Row],[order_date]] &gt;=0, TRUE, FALSE)</f>
        <v>1</v>
      </c>
    </row>
    <row r="575" spans="1:11" x14ac:dyDescent="0.2">
      <c r="A575" t="s">
        <v>1657</v>
      </c>
      <c r="B575" t="s">
        <v>952</v>
      </c>
      <c r="C575" s="9">
        <v>45832</v>
      </c>
      <c r="D575" s="9">
        <v>45833</v>
      </c>
      <c r="E575" t="s">
        <v>74</v>
      </c>
      <c r="F575" t="s">
        <v>708</v>
      </c>
      <c r="G575">
        <v>24</v>
      </c>
      <c r="H575">
        <v>51.6</v>
      </c>
      <c r="I575" t="s">
        <v>938</v>
      </c>
      <c r="K575" t="b">
        <f>IF(Table1[[#This Row],[dispatch_date]]-Table1[[#This Row],[order_date]] &gt;=0, TRUE, FALSE)</f>
        <v>1</v>
      </c>
    </row>
    <row r="576" spans="1:11" x14ac:dyDescent="0.2">
      <c r="A576" t="s">
        <v>1794</v>
      </c>
      <c r="B576" t="s">
        <v>989</v>
      </c>
      <c r="C576" s="9">
        <v>45832</v>
      </c>
      <c r="D576" s="9">
        <v>45832</v>
      </c>
      <c r="E576" t="s">
        <v>67</v>
      </c>
      <c r="F576" t="s">
        <v>751</v>
      </c>
      <c r="G576">
        <v>36</v>
      </c>
      <c r="H576">
        <v>181.26</v>
      </c>
      <c r="I576" t="s">
        <v>927</v>
      </c>
      <c r="K576" t="b">
        <f>IF(Table1[[#This Row],[dispatch_date]]-Table1[[#This Row],[order_date]] &gt;=0, TRUE, FALSE)</f>
        <v>1</v>
      </c>
    </row>
    <row r="577" spans="1:11" x14ac:dyDescent="0.2">
      <c r="A577" t="s">
        <v>2521</v>
      </c>
      <c r="B577" t="s">
        <v>914</v>
      </c>
      <c r="C577" s="9">
        <v>45832</v>
      </c>
      <c r="D577" s="9">
        <v>45835</v>
      </c>
      <c r="E577" t="s">
        <v>42</v>
      </c>
      <c r="F577" t="s">
        <v>282</v>
      </c>
      <c r="G577">
        <v>72</v>
      </c>
      <c r="H577">
        <v>235.44</v>
      </c>
      <c r="I577" t="s">
        <v>916</v>
      </c>
      <c r="K577" t="b">
        <f>IF(Table1[[#This Row],[dispatch_date]]-Table1[[#This Row],[order_date]] &gt;=0, TRUE, FALSE)</f>
        <v>1</v>
      </c>
    </row>
    <row r="578" spans="1:11" x14ac:dyDescent="0.2">
      <c r="A578" t="s">
        <v>1704</v>
      </c>
      <c r="B578" t="s">
        <v>1061</v>
      </c>
      <c r="C578" s="9">
        <v>45833</v>
      </c>
      <c r="D578" s="9">
        <v>45836</v>
      </c>
      <c r="E578" t="s">
        <v>84</v>
      </c>
      <c r="G578">
        <v>36</v>
      </c>
      <c r="H578">
        <v>80.28</v>
      </c>
      <c r="I578" t="s">
        <v>912</v>
      </c>
      <c r="K578" t="b">
        <f>IF(Table1[[#This Row],[dispatch_date]]-Table1[[#This Row],[order_date]] &gt;=0, TRUE, FALSE)</f>
        <v>1</v>
      </c>
    </row>
    <row r="579" spans="1:11" x14ac:dyDescent="0.2">
      <c r="A579" t="s">
        <v>1821</v>
      </c>
      <c r="B579" t="s">
        <v>1059</v>
      </c>
      <c r="C579" s="9">
        <v>45833</v>
      </c>
      <c r="D579" s="9">
        <v>45833</v>
      </c>
      <c r="E579" t="s">
        <v>50</v>
      </c>
      <c r="F579" t="s">
        <v>558</v>
      </c>
      <c r="G579">
        <v>48</v>
      </c>
      <c r="H579">
        <v>278.16000000000003</v>
      </c>
      <c r="I579" t="s">
        <v>956</v>
      </c>
      <c r="K579" t="b">
        <f>IF(Table1[[#This Row],[dispatch_date]]-Table1[[#This Row],[order_date]] &gt;=0, TRUE, FALSE)</f>
        <v>1</v>
      </c>
    </row>
    <row r="580" spans="1:11" x14ac:dyDescent="0.2">
      <c r="A580" t="s">
        <v>2111</v>
      </c>
      <c r="B580" t="s">
        <v>1040</v>
      </c>
      <c r="C580" s="9">
        <v>45833</v>
      </c>
      <c r="D580" s="9">
        <v>45833</v>
      </c>
      <c r="E580" t="s">
        <v>116</v>
      </c>
      <c r="F580" t="s">
        <v>638</v>
      </c>
      <c r="G580">
        <v>36</v>
      </c>
      <c r="H580">
        <v>165.53</v>
      </c>
      <c r="I580" t="s">
        <v>916</v>
      </c>
      <c r="K580" t="b">
        <f>IF(Table1[[#This Row],[dispatch_date]]-Table1[[#This Row],[order_date]] &gt;=0, TRUE, FALSE)</f>
        <v>1</v>
      </c>
    </row>
    <row r="581" spans="1:11" x14ac:dyDescent="0.2">
      <c r="A581" t="s">
        <v>2302</v>
      </c>
      <c r="B581" t="s">
        <v>1042</v>
      </c>
      <c r="C581" s="9">
        <v>45833</v>
      </c>
      <c r="D581" s="9">
        <v>45834</v>
      </c>
      <c r="E581" t="s">
        <v>116</v>
      </c>
      <c r="F581" t="s">
        <v>870</v>
      </c>
      <c r="G581">
        <v>24</v>
      </c>
      <c r="H581">
        <v>116.16</v>
      </c>
      <c r="I581" t="s">
        <v>1079</v>
      </c>
      <c r="K581" t="b">
        <f>IF(Table1[[#This Row],[dispatch_date]]-Table1[[#This Row],[order_date]] &gt;=0, TRUE, FALSE)</f>
        <v>1</v>
      </c>
    </row>
    <row r="582" spans="1:11" x14ac:dyDescent="0.2">
      <c r="A582" t="s">
        <v>2305</v>
      </c>
      <c r="B582" t="s">
        <v>1034</v>
      </c>
      <c r="C582" s="9">
        <v>45833</v>
      </c>
      <c r="D582" s="9">
        <v>45833</v>
      </c>
      <c r="E582" t="s">
        <v>125</v>
      </c>
      <c r="F582" t="s">
        <v>519</v>
      </c>
      <c r="G582">
        <v>12</v>
      </c>
      <c r="H582">
        <v>91.56</v>
      </c>
      <c r="I582" t="s">
        <v>938</v>
      </c>
      <c r="K582" t="b">
        <f>IF(Table1[[#This Row],[dispatch_date]]-Table1[[#This Row],[order_date]] &gt;=0, TRUE, FALSE)</f>
        <v>1</v>
      </c>
    </row>
    <row r="583" spans="1:11" x14ac:dyDescent="0.2">
      <c r="A583" t="s">
        <v>2510</v>
      </c>
      <c r="B583" t="s">
        <v>948</v>
      </c>
      <c r="C583" s="9">
        <v>45833</v>
      </c>
      <c r="D583" s="9">
        <v>45834</v>
      </c>
      <c r="E583" t="s">
        <v>110</v>
      </c>
      <c r="F583" t="s">
        <v>358</v>
      </c>
      <c r="G583">
        <v>48</v>
      </c>
      <c r="H583">
        <v>156.96</v>
      </c>
      <c r="I583" t="s">
        <v>938</v>
      </c>
      <c r="K583" t="b">
        <f>IF(Table1[[#This Row],[dispatch_date]]-Table1[[#This Row],[order_date]] &gt;=0, TRUE, FALSE)</f>
        <v>1</v>
      </c>
    </row>
    <row r="584" spans="1:11" x14ac:dyDescent="0.2">
      <c r="A584" t="s">
        <v>2815</v>
      </c>
      <c r="B584" t="s">
        <v>948</v>
      </c>
      <c r="C584" s="9">
        <v>45833</v>
      </c>
      <c r="D584" s="9">
        <v>45835</v>
      </c>
      <c r="E584" t="s">
        <v>22</v>
      </c>
      <c r="F584" t="s">
        <v>532</v>
      </c>
      <c r="G584">
        <v>24</v>
      </c>
      <c r="H584">
        <v>119.28</v>
      </c>
      <c r="I584" t="s">
        <v>938</v>
      </c>
      <c r="K584" t="b">
        <f>IF(Table1[[#This Row],[dispatch_date]]-Table1[[#This Row],[order_date]] &gt;=0, TRUE, FALSE)</f>
        <v>1</v>
      </c>
    </row>
    <row r="585" spans="1:11" x14ac:dyDescent="0.2">
      <c r="A585" t="s">
        <v>2190</v>
      </c>
      <c r="B585" t="s">
        <v>1059</v>
      </c>
      <c r="C585" s="9">
        <v>45834</v>
      </c>
      <c r="D585" s="9">
        <v>45837</v>
      </c>
      <c r="E585" t="s">
        <v>50</v>
      </c>
      <c r="F585" t="s">
        <v>389</v>
      </c>
      <c r="G585">
        <v>12</v>
      </c>
      <c r="H585">
        <v>69.540000000000006</v>
      </c>
      <c r="I585" t="s">
        <v>956</v>
      </c>
      <c r="K585" t="b">
        <f>IF(Table1[[#This Row],[dispatch_date]]-Table1[[#This Row],[order_date]] &gt;=0, TRUE, FALSE)</f>
        <v>1</v>
      </c>
    </row>
    <row r="586" spans="1:11" x14ac:dyDescent="0.2">
      <c r="A586" t="s">
        <v>2193</v>
      </c>
      <c r="B586" t="s">
        <v>1031</v>
      </c>
      <c r="C586" s="9">
        <v>45834</v>
      </c>
      <c r="D586" s="9">
        <v>45837</v>
      </c>
      <c r="E586" t="s">
        <v>30</v>
      </c>
      <c r="F586" t="s">
        <v>872</v>
      </c>
      <c r="G586">
        <v>36</v>
      </c>
      <c r="H586">
        <v>86.4</v>
      </c>
      <c r="I586" t="s">
        <v>956</v>
      </c>
      <c r="K586" t="b">
        <f>IF(Table1[[#This Row],[dispatch_date]]-Table1[[#This Row],[order_date]] &gt;=0, TRUE, FALSE)</f>
        <v>1</v>
      </c>
    </row>
    <row r="587" spans="1:11" x14ac:dyDescent="0.2">
      <c r="A587" t="s">
        <v>2316</v>
      </c>
      <c r="B587" t="s">
        <v>1060</v>
      </c>
      <c r="C587" s="9">
        <v>45835</v>
      </c>
      <c r="D587" s="9">
        <v>45836</v>
      </c>
      <c r="E587" t="s">
        <v>30</v>
      </c>
      <c r="F587" t="s">
        <v>872</v>
      </c>
      <c r="G587">
        <v>12</v>
      </c>
      <c r="H587">
        <v>27.36</v>
      </c>
      <c r="I587" t="s">
        <v>956</v>
      </c>
      <c r="K587" t="b">
        <f>IF(Table1[[#This Row],[dispatch_date]]-Table1[[#This Row],[order_date]] &gt;=0, TRUE, FALSE)</f>
        <v>1</v>
      </c>
    </row>
    <row r="588" spans="1:11" x14ac:dyDescent="0.2">
      <c r="A588" t="s">
        <v>1568</v>
      </c>
      <c r="B588" t="s">
        <v>1037</v>
      </c>
      <c r="C588" s="9">
        <v>45836</v>
      </c>
      <c r="D588" s="9">
        <v>45837</v>
      </c>
      <c r="E588" t="s">
        <v>17</v>
      </c>
      <c r="F588" t="s">
        <v>568</v>
      </c>
      <c r="G588">
        <v>48</v>
      </c>
      <c r="H588">
        <v>287.52</v>
      </c>
      <c r="I588" t="s">
        <v>938</v>
      </c>
      <c r="K588" t="b">
        <f>IF(Table1[[#This Row],[dispatch_date]]-Table1[[#This Row],[order_date]] &gt;=0, TRUE, FALSE)</f>
        <v>1</v>
      </c>
    </row>
    <row r="589" spans="1:11" x14ac:dyDescent="0.2">
      <c r="A589" t="s">
        <v>1961</v>
      </c>
      <c r="B589" t="s">
        <v>922</v>
      </c>
      <c r="C589" s="9">
        <v>45836</v>
      </c>
      <c r="D589" s="9">
        <v>45838</v>
      </c>
      <c r="E589" t="s">
        <v>17</v>
      </c>
      <c r="F589" t="s">
        <v>691</v>
      </c>
      <c r="G589">
        <v>24</v>
      </c>
      <c r="H589">
        <v>143.76</v>
      </c>
      <c r="I589" t="s">
        <v>912</v>
      </c>
      <c r="K589" t="b">
        <f>IF(Table1[[#This Row],[dispatch_date]]-Table1[[#This Row],[order_date]] &gt;=0, TRUE, FALSE)</f>
        <v>1</v>
      </c>
    </row>
    <row r="590" spans="1:11" x14ac:dyDescent="0.2">
      <c r="A590" t="s">
        <v>2326</v>
      </c>
      <c r="B590" t="s">
        <v>996</v>
      </c>
      <c r="C590" s="9">
        <v>45836</v>
      </c>
      <c r="D590" s="9">
        <v>45839</v>
      </c>
      <c r="E590" t="s">
        <v>78</v>
      </c>
      <c r="F590" t="s">
        <v>273</v>
      </c>
      <c r="G590">
        <v>36</v>
      </c>
      <c r="H590">
        <v>109.44</v>
      </c>
      <c r="I590" t="s">
        <v>956</v>
      </c>
      <c r="K590" t="b">
        <f>IF(Table1[[#This Row],[dispatch_date]]-Table1[[#This Row],[order_date]] &gt;=0, TRUE, FALSE)</f>
        <v>1</v>
      </c>
    </row>
    <row r="591" spans="1:11" x14ac:dyDescent="0.2">
      <c r="A591" t="s">
        <v>1876</v>
      </c>
      <c r="B591" t="s">
        <v>939</v>
      </c>
      <c r="C591" s="9">
        <v>45838</v>
      </c>
      <c r="D591" s="9">
        <v>45839</v>
      </c>
      <c r="E591" t="s">
        <v>28</v>
      </c>
      <c r="G591">
        <v>6</v>
      </c>
      <c r="H591">
        <v>34.44</v>
      </c>
      <c r="I591" t="s">
        <v>916</v>
      </c>
      <c r="K591" t="b">
        <f>IF(Table1[[#This Row],[dispatch_date]]-Table1[[#This Row],[order_date]] &gt;=0, TRUE, FALSE)</f>
        <v>1</v>
      </c>
    </row>
    <row r="592" spans="1:11" x14ac:dyDescent="0.2">
      <c r="A592" t="s">
        <v>2340</v>
      </c>
      <c r="B592" t="s">
        <v>1006</v>
      </c>
      <c r="C592" s="9">
        <v>45838</v>
      </c>
      <c r="D592" s="9"/>
      <c r="E592" t="s">
        <v>127</v>
      </c>
      <c r="F592" t="s">
        <v>483</v>
      </c>
      <c r="G592">
        <v>6</v>
      </c>
      <c r="H592">
        <v>24.6</v>
      </c>
      <c r="I592" t="s">
        <v>912</v>
      </c>
      <c r="K592" t="b">
        <f>IF(Table1[[#This Row],[dispatch_date]]-Table1[[#This Row],[order_date]] &gt;=0, TRUE, FALSE)</f>
        <v>0</v>
      </c>
    </row>
    <row r="593" spans="1:11" x14ac:dyDescent="0.2">
      <c r="A593" t="s">
        <v>1430</v>
      </c>
      <c r="B593" t="s">
        <v>996</v>
      </c>
      <c r="C593" s="9">
        <v>45839</v>
      </c>
      <c r="D593" s="9">
        <v>45841</v>
      </c>
      <c r="E593" t="s">
        <v>125</v>
      </c>
      <c r="G593">
        <v>12</v>
      </c>
      <c r="H593">
        <v>91.56</v>
      </c>
      <c r="I593" t="s">
        <v>956</v>
      </c>
      <c r="K593" t="b">
        <f>IF(Table1[[#This Row],[dispatch_date]]-Table1[[#This Row],[order_date]] &gt;=0, TRUE, FALSE)</f>
        <v>1</v>
      </c>
    </row>
    <row r="594" spans="1:11" x14ac:dyDescent="0.2">
      <c r="A594" t="s">
        <v>2840</v>
      </c>
      <c r="B594" t="s">
        <v>1016</v>
      </c>
      <c r="C594" s="9">
        <v>45839</v>
      </c>
      <c r="D594" s="9">
        <v>45842</v>
      </c>
      <c r="E594" t="s">
        <v>38</v>
      </c>
      <c r="F594" t="s">
        <v>889</v>
      </c>
      <c r="G594">
        <v>6</v>
      </c>
      <c r="H594">
        <v>30.6</v>
      </c>
      <c r="I594" t="s">
        <v>912</v>
      </c>
      <c r="K594" t="b">
        <f>IF(Table1[[#This Row],[dispatch_date]]-Table1[[#This Row],[order_date]] &gt;=0, TRUE, FALSE)</f>
        <v>1</v>
      </c>
    </row>
    <row r="595" spans="1:11" x14ac:dyDescent="0.2">
      <c r="A595" t="s">
        <v>1602</v>
      </c>
      <c r="B595" t="s">
        <v>1018</v>
      </c>
      <c r="C595" s="9">
        <v>45840</v>
      </c>
      <c r="D595" s="9">
        <v>45841</v>
      </c>
      <c r="E595" t="s">
        <v>30</v>
      </c>
      <c r="F595" t="s">
        <v>255</v>
      </c>
      <c r="G595">
        <v>24</v>
      </c>
      <c r="H595">
        <v>57.6</v>
      </c>
      <c r="I595" t="s">
        <v>916</v>
      </c>
      <c r="K595" t="b">
        <f>IF(Table1[[#This Row],[dispatch_date]]-Table1[[#This Row],[order_date]] &gt;=0, TRUE, FALSE)</f>
        <v>1</v>
      </c>
    </row>
    <row r="596" spans="1:11" x14ac:dyDescent="0.2">
      <c r="A596" t="s">
        <v>1733</v>
      </c>
      <c r="B596" t="s">
        <v>1049</v>
      </c>
      <c r="C596" s="9">
        <v>45840</v>
      </c>
      <c r="D596" s="9">
        <v>45843</v>
      </c>
      <c r="E596" t="s">
        <v>80</v>
      </c>
      <c r="F596" t="s">
        <v>352</v>
      </c>
      <c r="G596">
        <v>48</v>
      </c>
      <c r="H596">
        <v>285.60000000000002</v>
      </c>
      <c r="I596" t="s">
        <v>938</v>
      </c>
      <c r="K596" t="b">
        <f>IF(Table1[[#This Row],[dispatch_date]]-Table1[[#This Row],[order_date]] &gt;=0, TRUE, FALSE)</f>
        <v>1</v>
      </c>
    </row>
    <row r="597" spans="1:11" x14ac:dyDescent="0.2">
      <c r="A597" t="s">
        <v>2548</v>
      </c>
      <c r="B597" t="s">
        <v>1031</v>
      </c>
      <c r="C597" s="9">
        <v>45840</v>
      </c>
      <c r="D597" s="9">
        <v>45842</v>
      </c>
      <c r="E597" t="s">
        <v>116</v>
      </c>
      <c r="F597" t="s">
        <v>638</v>
      </c>
      <c r="G597">
        <v>24</v>
      </c>
      <c r="H597">
        <v>116.16</v>
      </c>
      <c r="I597" t="s">
        <v>956</v>
      </c>
      <c r="K597" t="b">
        <f>IF(Table1[[#This Row],[dispatch_date]]-Table1[[#This Row],[order_date]] &gt;=0, TRUE, FALSE)</f>
        <v>1</v>
      </c>
    </row>
    <row r="598" spans="1:11" x14ac:dyDescent="0.2">
      <c r="A598" t="s">
        <v>2674</v>
      </c>
      <c r="B598" t="s">
        <v>1048</v>
      </c>
      <c r="C598" s="9">
        <v>45840</v>
      </c>
      <c r="D598" s="9">
        <v>45843</v>
      </c>
      <c r="E598" t="s">
        <v>97</v>
      </c>
      <c r="F598" t="s">
        <v>279</v>
      </c>
      <c r="G598">
        <v>72</v>
      </c>
      <c r="H598">
        <v>387.36</v>
      </c>
      <c r="I598" t="s">
        <v>912</v>
      </c>
      <c r="K598" t="b">
        <f>IF(Table1[[#This Row],[dispatch_date]]-Table1[[#This Row],[order_date]] &gt;=0, TRUE, FALSE)</f>
        <v>1</v>
      </c>
    </row>
    <row r="599" spans="1:11" x14ac:dyDescent="0.2">
      <c r="A599" t="s">
        <v>1666</v>
      </c>
      <c r="B599" t="s">
        <v>996</v>
      </c>
      <c r="C599" s="9">
        <v>45841</v>
      </c>
      <c r="D599" s="9">
        <v>45842</v>
      </c>
      <c r="E599" t="s">
        <v>108</v>
      </c>
      <c r="F599" t="s">
        <v>797</v>
      </c>
      <c r="G599">
        <v>36</v>
      </c>
      <c r="H599">
        <v>244.19</v>
      </c>
      <c r="I599" t="s">
        <v>1079</v>
      </c>
      <c r="K599" t="b">
        <f>IF(Table1[[#This Row],[dispatch_date]]-Table1[[#This Row],[order_date]] &gt;=0, TRUE, FALSE)</f>
        <v>1</v>
      </c>
    </row>
    <row r="600" spans="1:11" x14ac:dyDescent="0.2">
      <c r="A600" t="s">
        <v>2199</v>
      </c>
      <c r="B600" t="s">
        <v>945</v>
      </c>
      <c r="C600" s="9">
        <v>45841</v>
      </c>
      <c r="D600" s="9"/>
      <c r="E600" t="s">
        <v>93</v>
      </c>
      <c r="G600">
        <v>6</v>
      </c>
      <c r="H600">
        <v>15.9</v>
      </c>
      <c r="I600" t="s">
        <v>938</v>
      </c>
      <c r="K600" t="b">
        <f>IF(Table1[[#This Row],[dispatch_date]]-Table1[[#This Row],[order_date]] &gt;=0, TRUE, FALSE)</f>
        <v>0</v>
      </c>
    </row>
    <row r="601" spans="1:11" x14ac:dyDescent="0.2">
      <c r="A601" t="s">
        <v>2309</v>
      </c>
      <c r="B601" t="s">
        <v>942</v>
      </c>
      <c r="C601" s="9">
        <v>45841</v>
      </c>
      <c r="D601" s="9">
        <v>45843</v>
      </c>
      <c r="E601" t="s">
        <v>40</v>
      </c>
      <c r="F601" t="s">
        <v>823</v>
      </c>
      <c r="G601">
        <v>24</v>
      </c>
      <c r="H601">
        <v>93.36</v>
      </c>
      <c r="I601" t="s">
        <v>916</v>
      </c>
      <c r="K601" t="b">
        <f>IF(Table1[[#This Row],[dispatch_date]]-Table1[[#This Row],[order_date]] &gt;=0, TRUE, FALSE)</f>
        <v>1</v>
      </c>
    </row>
    <row r="602" spans="1:11" x14ac:dyDescent="0.2">
      <c r="A602" t="s">
        <v>2138</v>
      </c>
      <c r="B602" t="s">
        <v>960</v>
      </c>
      <c r="C602" s="9">
        <v>45842</v>
      </c>
      <c r="D602" s="9">
        <v>45842</v>
      </c>
      <c r="E602" t="s">
        <v>36</v>
      </c>
      <c r="F602" t="s">
        <v>833</v>
      </c>
      <c r="G602">
        <v>48</v>
      </c>
      <c r="H602">
        <v>82.08</v>
      </c>
      <c r="I602" t="s">
        <v>938</v>
      </c>
      <c r="K602" t="b">
        <f>IF(Table1[[#This Row],[dispatch_date]]-Table1[[#This Row],[order_date]] &gt;=0, TRUE, FALSE)</f>
        <v>1</v>
      </c>
    </row>
    <row r="603" spans="1:11" x14ac:dyDescent="0.2">
      <c r="A603" t="s">
        <v>1144</v>
      </c>
      <c r="B603" t="s">
        <v>1004</v>
      </c>
      <c r="C603" s="9">
        <v>45844</v>
      </c>
      <c r="D603" s="9">
        <v>45847</v>
      </c>
      <c r="E603" t="s">
        <v>82</v>
      </c>
      <c r="F603" t="s">
        <v>403</v>
      </c>
      <c r="G603">
        <v>48</v>
      </c>
      <c r="H603">
        <v>94.56</v>
      </c>
      <c r="I603" t="s">
        <v>927</v>
      </c>
      <c r="K603" t="b">
        <f>IF(Table1[[#This Row],[dispatch_date]]-Table1[[#This Row],[order_date]] &gt;=0, TRUE, FALSE)</f>
        <v>1</v>
      </c>
    </row>
    <row r="604" spans="1:11" x14ac:dyDescent="0.2">
      <c r="A604" t="s">
        <v>1713</v>
      </c>
      <c r="B604" t="s">
        <v>962</v>
      </c>
      <c r="C604" s="9">
        <v>45844</v>
      </c>
      <c r="D604" s="9">
        <v>45847</v>
      </c>
      <c r="E604" t="s">
        <v>38</v>
      </c>
      <c r="G604">
        <v>6</v>
      </c>
      <c r="H604">
        <v>29.07</v>
      </c>
      <c r="I604" t="s">
        <v>956</v>
      </c>
      <c r="K604" t="b">
        <f>IF(Table1[[#This Row],[dispatch_date]]-Table1[[#This Row],[order_date]] &gt;=0, TRUE, FALSE)</f>
        <v>1</v>
      </c>
    </row>
    <row r="605" spans="1:11" x14ac:dyDescent="0.2">
      <c r="A605" t="s">
        <v>2170</v>
      </c>
      <c r="B605" t="s">
        <v>925</v>
      </c>
      <c r="C605" s="9">
        <v>45844</v>
      </c>
      <c r="D605" s="9">
        <v>45845</v>
      </c>
      <c r="E605" t="s">
        <v>69</v>
      </c>
      <c r="F605" t="s">
        <v>837</v>
      </c>
      <c r="G605">
        <v>72</v>
      </c>
      <c r="H605">
        <v>365.26</v>
      </c>
      <c r="I605" t="s">
        <v>927</v>
      </c>
      <c r="K605" t="b">
        <f>IF(Table1[[#This Row],[dispatch_date]]-Table1[[#This Row],[order_date]] &gt;=0, TRUE, FALSE)</f>
        <v>1</v>
      </c>
    </row>
    <row r="606" spans="1:11" x14ac:dyDescent="0.2">
      <c r="A606" t="s">
        <v>1873</v>
      </c>
      <c r="B606" t="s">
        <v>1055</v>
      </c>
      <c r="C606" s="9">
        <v>45845</v>
      </c>
      <c r="D606" s="9">
        <v>45845</v>
      </c>
      <c r="E606" t="s">
        <v>67</v>
      </c>
      <c r="F606" t="s">
        <v>223</v>
      </c>
      <c r="G606">
        <v>48</v>
      </c>
      <c r="H606">
        <v>254.4</v>
      </c>
      <c r="I606" t="s">
        <v>938</v>
      </c>
      <c r="K606" t="b">
        <f>IF(Table1[[#This Row],[dispatch_date]]-Table1[[#This Row],[order_date]] &gt;=0, TRUE, FALSE)</f>
        <v>1</v>
      </c>
    </row>
    <row r="607" spans="1:11" x14ac:dyDescent="0.2">
      <c r="A607" t="s">
        <v>1882</v>
      </c>
      <c r="B607" t="s">
        <v>1056</v>
      </c>
      <c r="C607" s="9">
        <v>45845</v>
      </c>
      <c r="D607" s="9">
        <v>45847</v>
      </c>
      <c r="E607" t="s">
        <v>63</v>
      </c>
      <c r="G607">
        <v>72</v>
      </c>
      <c r="H607">
        <v>705.6</v>
      </c>
      <c r="I607" t="s">
        <v>912</v>
      </c>
      <c r="K607" t="b">
        <f>IF(Table1[[#This Row],[dispatch_date]]-Table1[[#This Row],[order_date]] &gt;=0, TRUE, FALSE)</f>
        <v>1</v>
      </c>
    </row>
    <row r="608" spans="1:11" x14ac:dyDescent="0.2">
      <c r="A608" t="s">
        <v>2012</v>
      </c>
      <c r="B608" t="s">
        <v>998</v>
      </c>
      <c r="C608" s="9">
        <v>45846</v>
      </c>
      <c r="D608" s="9">
        <v>45849</v>
      </c>
      <c r="E608" t="s">
        <v>88</v>
      </c>
      <c r="F608" t="s">
        <v>648</v>
      </c>
      <c r="G608">
        <v>36</v>
      </c>
      <c r="H608">
        <v>141.25</v>
      </c>
      <c r="I608" t="s">
        <v>938</v>
      </c>
      <c r="K608" t="b">
        <f>IF(Table1[[#This Row],[dispatch_date]]-Table1[[#This Row],[order_date]] &gt;=0, TRUE, FALSE)</f>
        <v>1</v>
      </c>
    </row>
    <row r="609" spans="1:11" x14ac:dyDescent="0.2">
      <c r="A609" t="s">
        <v>1518</v>
      </c>
      <c r="B609" t="s">
        <v>906</v>
      </c>
      <c r="C609" s="9">
        <v>45847</v>
      </c>
      <c r="D609" s="9">
        <v>45847</v>
      </c>
      <c r="E609" t="s">
        <v>84</v>
      </c>
      <c r="F609" t="s">
        <v>806</v>
      </c>
      <c r="G609">
        <v>24</v>
      </c>
      <c r="H609">
        <v>53.52</v>
      </c>
      <c r="I609" t="s">
        <v>938</v>
      </c>
      <c r="K609" t="b">
        <f>IF(Table1[[#This Row],[dispatch_date]]-Table1[[#This Row],[order_date]] &gt;=0, TRUE, FALSE)</f>
        <v>1</v>
      </c>
    </row>
    <row r="610" spans="1:11" x14ac:dyDescent="0.2">
      <c r="A610" t="s">
        <v>2245</v>
      </c>
      <c r="B610" t="s">
        <v>910</v>
      </c>
      <c r="C610" s="9">
        <v>45847</v>
      </c>
      <c r="D610" s="9">
        <v>45847</v>
      </c>
      <c r="E610" t="s">
        <v>8</v>
      </c>
      <c r="G610">
        <v>24</v>
      </c>
      <c r="H610">
        <v>144.72</v>
      </c>
      <c r="I610" t="s">
        <v>912</v>
      </c>
      <c r="K610" t="b">
        <f>IF(Table1[[#This Row],[dispatch_date]]-Table1[[#This Row],[order_date]] &gt;=0, TRUE, FALSE)</f>
        <v>1</v>
      </c>
    </row>
    <row r="611" spans="1:11" x14ac:dyDescent="0.2">
      <c r="A611" t="s">
        <v>2351</v>
      </c>
      <c r="B611" t="s">
        <v>918</v>
      </c>
      <c r="C611" s="9">
        <v>45907</v>
      </c>
      <c r="D611" s="9">
        <v>45908</v>
      </c>
      <c r="E611" t="s">
        <v>99</v>
      </c>
      <c r="F611" t="s">
        <v>595</v>
      </c>
      <c r="G611">
        <v>12</v>
      </c>
      <c r="H611">
        <v>88.68</v>
      </c>
      <c r="I611" t="s">
        <v>912</v>
      </c>
      <c r="K611" t="b">
        <f>IF(Table1[[#This Row],[dispatch_date]]-Table1[[#This Row],[order_date]] &gt;=0, TRUE, FALSE)</f>
        <v>1</v>
      </c>
    </row>
    <row r="612" spans="1:11" x14ac:dyDescent="0.2">
      <c r="A612" t="s">
        <v>2682</v>
      </c>
      <c r="B612" t="s">
        <v>1001</v>
      </c>
      <c r="C612" s="9">
        <v>45847</v>
      </c>
      <c r="D612" s="9">
        <v>45850</v>
      </c>
      <c r="E612" t="s">
        <v>14</v>
      </c>
      <c r="F612" t="s">
        <v>383</v>
      </c>
      <c r="G612">
        <v>24</v>
      </c>
      <c r="H612">
        <v>87.6</v>
      </c>
      <c r="I612" t="s">
        <v>916</v>
      </c>
      <c r="K612" t="b">
        <f>IF(Table1[[#This Row],[dispatch_date]]-Table1[[#This Row],[order_date]] &gt;=0, TRUE, FALSE)</f>
        <v>1</v>
      </c>
    </row>
    <row r="613" spans="1:11" x14ac:dyDescent="0.2">
      <c r="A613" t="s">
        <v>1092</v>
      </c>
      <c r="B613" t="s">
        <v>1006</v>
      </c>
      <c r="C613" s="9">
        <v>45848</v>
      </c>
      <c r="D613" s="9">
        <v>45848</v>
      </c>
      <c r="E613" t="s">
        <v>56</v>
      </c>
      <c r="F613" t="s">
        <v>761</v>
      </c>
      <c r="G613">
        <v>48</v>
      </c>
      <c r="H613">
        <v>268.13</v>
      </c>
      <c r="I613" t="s">
        <v>912</v>
      </c>
      <c r="K613" t="b">
        <f>IF(Table1[[#This Row],[dispatch_date]]-Table1[[#This Row],[order_date]] &gt;=0, TRUE, FALSE)</f>
        <v>1</v>
      </c>
    </row>
    <row r="614" spans="1:11" x14ac:dyDescent="0.2">
      <c r="A614" t="s">
        <v>1225</v>
      </c>
      <c r="B614" t="s">
        <v>948</v>
      </c>
      <c r="C614" s="9">
        <v>45848</v>
      </c>
      <c r="D614" s="9">
        <v>45848</v>
      </c>
      <c r="E614" t="s">
        <v>90</v>
      </c>
      <c r="G614">
        <v>72</v>
      </c>
      <c r="H614">
        <v>604.79999999999995</v>
      </c>
      <c r="I614" t="s">
        <v>916</v>
      </c>
      <c r="K614" t="b">
        <f>IF(Table1[[#This Row],[dispatch_date]]-Table1[[#This Row],[order_date]] &gt;=0, TRUE, FALSE)</f>
        <v>1</v>
      </c>
    </row>
    <row r="615" spans="1:11" x14ac:dyDescent="0.2">
      <c r="A615" t="s">
        <v>1303</v>
      </c>
      <c r="B615" t="s">
        <v>968</v>
      </c>
      <c r="C615" s="9">
        <v>45848</v>
      </c>
      <c r="D615" s="9">
        <v>45848</v>
      </c>
      <c r="E615" t="s">
        <v>112</v>
      </c>
      <c r="F615" t="s">
        <v>184</v>
      </c>
      <c r="G615">
        <v>24</v>
      </c>
      <c r="H615">
        <v>137.03</v>
      </c>
      <c r="I615" t="s">
        <v>938</v>
      </c>
      <c r="K615" t="b">
        <f>IF(Table1[[#This Row],[dispatch_date]]-Table1[[#This Row],[order_date]] &gt;=0, TRUE, FALSE)</f>
        <v>1</v>
      </c>
    </row>
    <row r="616" spans="1:11" x14ac:dyDescent="0.2">
      <c r="A616" t="s">
        <v>2777</v>
      </c>
      <c r="B616" t="s">
        <v>1029</v>
      </c>
      <c r="C616" s="9">
        <v>45848</v>
      </c>
      <c r="D616" s="9">
        <v>45848</v>
      </c>
      <c r="E616" t="s">
        <v>95</v>
      </c>
      <c r="F616" t="s">
        <v>601</v>
      </c>
      <c r="G616">
        <v>24</v>
      </c>
      <c r="H616">
        <v>89.83</v>
      </c>
      <c r="I616" t="s">
        <v>938</v>
      </c>
      <c r="K616" t="b">
        <f>IF(Table1[[#This Row],[dispatch_date]]-Table1[[#This Row],[order_date]] &gt;=0, TRUE, FALSE)</f>
        <v>1</v>
      </c>
    </row>
    <row r="617" spans="1:11" x14ac:dyDescent="0.2">
      <c r="A617" t="s">
        <v>1202</v>
      </c>
      <c r="B617" t="s">
        <v>973</v>
      </c>
      <c r="C617" s="9">
        <v>45849</v>
      </c>
      <c r="D617" s="9">
        <v>45851</v>
      </c>
      <c r="E617" t="s">
        <v>56</v>
      </c>
      <c r="F617" t="s">
        <v>467</v>
      </c>
      <c r="G617">
        <v>36</v>
      </c>
      <c r="H617">
        <v>201.1</v>
      </c>
      <c r="I617" t="s">
        <v>912</v>
      </c>
      <c r="K617" t="b">
        <f>IF(Table1[[#This Row],[dispatch_date]]-Table1[[#This Row],[order_date]] &gt;=0, TRUE, FALSE)</f>
        <v>1</v>
      </c>
    </row>
    <row r="618" spans="1:11" x14ac:dyDescent="0.2">
      <c r="A618" t="s">
        <v>1300</v>
      </c>
      <c r="B618" t="s">
        <v>1040</v>
      </c>
      <c r="C618" s="9">
        <v>45849</v>
      </c>
      <c r="D618" s="9">
        <v>45849</v>
      </c>
      <c r="E618" t="s">
        <v>95</v>
      </c>
      <c r="F618" t="s">
        <v>739</v>
      </c>
      <c r="G618">
        <v>48</v>
      </c>
      <c r="H618">
        <v>189.12</v>
      </c>
      <c r="I618" t="s">
        <v>916</v>
      </c>
      <c r="K618" t="b">
        <f>IF(Table1[[#This Row],[dispatch_date]]-Table1[[#This Row],[order_date]] &gt;=0, TRUE, FALSE)</f>
        <v>1</v>
      </c>
    </row>
    <row r="619" spans="1:11" x14ac:dyDescent="0.2">
      <c r="A619" t="s">
        <v>2366</v>
      </c>
      <c r="B619" t="s">
        <v>954</v>
      </c>
      <c r="C619" s="9">
        <v>45849</v>
      </c>
      <c r="D619" s="9">
        <v>45851</v>
      </c>
      <c r="E619" t="s">
        <v>86</v>
      </c>
      <c r="F619" t="s">
        <v>778</v>
      </c>
      <c r="G619">
        <v>24</v>
      </c>
      <c r="H619">
        <v>76.56</v>
      </c>
      <c r="I619" t="s">
        <v>956</v>
      </c>
      <c r="K619" t="b">
        <f>IF(Table1[[#This Row],[dispatch_date]]-Table1[[#This Row],[order_date]] &gt;=0, TRUE, FALSE)</f>
        <v>1</v>
      </c>
    </row>
    <row r="620" spans="1:11" x14ac:dyDescent="0.2">
      <c r="A620" t="s">
        <v>2799</v>
      </c>
      <c r="B620" t="s">
        <v>991</v>
      </c>
      <c r="C620" s="9">
        <v>45849</v>
      </c>
      <c r="D620" s="9">
        <v>45851</v>
      </c>
      <c r="E620" t="s">
        <v>121</v>
      </c>
      <c r="F620" t="s">
        <v>498</v>
      </c>
      <c r="G620">
        <v>24</v>
      </c>
      <c r="H620">
        <v>308.16000000000003</v>
      </c>
      <c r="I620" t="s">
        <v>956</v>
      </c>
      <c r="K620" t="b">
        <f>IF(Table1[[#This Row],[dispatch_date]]-Table1[[#This Row],[order_date]] &gt;=0, TRUE, FALSE)</f>
        <v>1</v>
      </c>
    </row>
    <row r="621" spans="1:11" x14ac:dyDescent="0.2">
      <c r="A621" t="s">
        <v>1524</v>
      </c>
      <c r="B621" t="s">
        <v>985</v>
      </c>
      <c r="C621" s="9">
        <v>45850</v>
      </c>
      <c r="D621" s="9">
        <v>45852</v>
      </c>
      <c r="E621" t="s">
        <v>82</v>
      </c>
      <c r="F621" t="s">
        <v>346</v>
      </c>
      <c r="G621">
        <v>24</v>
      </c>
      <c r="H621">
        <v>44.92</v>
      </c>
      <c r="I621" t="s">
        <v>1079</v>
      </c>
      <c r="K621" t="b">
        <f>IF(Table1[[#This Row],[dispatch_date]]-Table1[[#This Row],[order_date]] &gt;=0, TRUE, FALSE)</f>
        <v>1</v>
      </c>
    </row>
    <row r="622" spans="1:11" x14ac:dyDescent="0.2">
      <c r="A622" t="s">
        <v>1565</v>
      </c>
      <c r="B622" t="s">
        <v>910</v>
      </c>
      <c r="C622" s="9">
        <v>45850</v>
      </c>
      <c r="D622" s="9">
        <v>45850</v>
      </c>
      <c r="E622" t="s">
        <v>101</v>
      </c>
      <c r="G622">
        <v>12</v>
      </c>
      <c r="H622">
        <v>40.32</v>
      </c>
      <c r="I622" t="s">
        <v>912</v>
      </c>
      <c r="K622" t="b">
        <f>IF(Table1[[#This Row],[dispatch_date]]-Table1[[#This Row],[order_date]] &gt;=0, TRUE, FALSE)</f>
        <v>1</v>
      </c>
    </row>
    <row r="623" spans="1:11" x14ac:dyDescent="0.2">
      <c r="A623" t="s">
        <v>1605</v>
      </c>
      <c r="B623" t="s">
        <v>951</v>
      </c>
      <c r="C623" s="9">
        <v>45850</v>
      </c>
      <c r="D623" s="9">
        <v>45852</v>
      </c>
      <c r="E623" t="s">
        <v>125</v>
      </c>
      <c r="F623" t="s">
        <v>491</v>
      </c>
      <c r="G623">
        <v>24</v>
      </c>
      <c r="H623">
        <v>183.12</v>
      </c>
      <c r="I623" t="s">
        <v>916</v>
      </c>
      <c r="K623" t="b">
        <f>IF(Table1[[#This Row],[dispatch_date]]-Table1[[#This Row],[order_date]] &gt;=0, TRUE, FALSE)</f>
        <v>1</v>
      </c>
    </row>
    <row r="624" spans="1:11" x14ac:dyDescent="0.2">
      <c r="A624" t="s">
        <v>2133</v>
      </c>
      <c r="B624" t="s">
        <v>960</v>
      </c>
      <c r="C624" s="9">
        <v>45850</v>
      </c>
      <c r="D624" s="9">
        <v>45851</v>
      </c>
      <c r="E624" t="s">
        <v>50</v>
      </c>
      <c r="F624" t="s">
        <v>379</v>
      </c>
      <c r="G624">
        <v>48</v>
      </c>
      <c r="H624">
        <v>292.8</v>
      </c>
      <c r="I624" t="s">
        <v>938</v>
      </c>
      <c r="K624" t="b">
        <f>IF(Table1[[#This Row],[dispatch_date]]-Table1[[#This Row],[order_date]] &gt;=0, TRUE, FALSE)</f>
        <v>1</v>
      </c>
    </row>
    <row r="625" spans="1:11" x14ac:dyDescent="0.2">
      <c r="A625" t="s">
        <v>2702</v>
      </c>
      <c r="B625" t="s">
        <v>991</v>
      </c>
      <c r="C625" s="9">
        <v>45850</v>
      </c>
      <c r="D625" s="9">
        <v>45852</v>
      </c>
      <c r="E625" t="s">
        <v>112</v>
      </c>
      <c r="G625">
        <v>72</v>
      </c>
      <c r="H625">
        <v>432.72</v>
      </c>
      <c r="I625" t="s">
        <v>956</v>
      </c>
      <c r="K625" t="b">
        <f>IF(Table1[[#This Row],[dispatch_date]]-Table1[[#This Row],[order_date]] &gt;=0, TRUE, FALSE)</f>
        <v>1</v>
      </c>
    </row>
    <row r="626" spans="1:11" x14ac:dyDescent="0.2">
      <c r="A626" t="s">
        <v>1459</v>
      </c>
      <c r="B626" t="s">
        <v>989</v>
      </c>
      <c r="C626" s="9">
        <v>45851</v>
      </c>
      <c r="D626" s="9"/>
      <c r="E626" t="s">
        <v>116</v>
      </c>
      <c r="F626" t="s">
        <v>503</v>
      </c>
      <c r="G626">
        <v>48</v>
      </c>
      <c r="H626">
        <v>232.32</v>
      </c>
      <c r="I626" t="s">
        <v>916</v>
      </c>
      <c r="K626" t="b">
        <f>IF(Table1[[#This Row],[dispatch_date]]-Table1[[#This Row],[order_date]] &gt;=0, TRUE, FALSE)</f>
        <v>0</v>
      </c>
    </row>
    <row r="627" spans="1:11" x14ac:dyDescent="0.2">
      <c r="A627" t="s">
        <v>1888</v>
      </c>
      <c r="B627" t="s">
        <v>1011</v>
      </c>
      <c r="C627" s="9">
        <v>45851</v>
      </c>
      <c r="D627" s="9">
        <v>45854</v>
      </c>
      <c r="E627" t="s">
        <v>69</v>
      </c>
      <c r="F627" t="s">
        <v>364</v>
      </c>
      <c r="G627">
        <v>48</v>
      </c>
      <c r="H627">
        <v>256.32</v>
      </c>
      <c r="I627" t="s">
        <v>916</v>
      </c>
      <c r="K627" t="b">
        <f>IF(Table1[[#This Row],[dispatch_date]]-Table1[[#This Row],[order_date]] &gt;=0, TRUE, FALSE)</f>
        <v>1</v>
      </c>
    </row>
    <row r="628" spans="1:11" x14ac:dyDescent="0.2">
      <c r="A628" t="s">
        <v>2369</v>
      </c>
      <c r="B628" t="s">
        <v>1040</v>
      </c>
      <c r="C628" s="9">
        <v>45851</v>
      </c>
      <c r="D628" s="9">
        <v>45854</v>
      </c>
      <c r="E628" t="s">
        <v>78</v>
      </c>
      <c r="F628" t="s">
        <v>273</v>
      </c>
      <c r="G628">
        <v>6</v>
      </c>
      <c r="H628">
        <v>19.2</v>
      </c>
      <c r="I628" t="s">
        <v>916</v>
      </c>
      <c r="K628" t="b">
        <f>IF(Table1[[#This Row],[dispatch_date]]-Table1[[#This Row],[order_date]] &gt;=0, TRUE, FALSE)</f>
        <v>1</v>
      </c>
    </row>
    <row r="629" spans="1:11" x14ac:dyDescent="0.2">
      <c r="A629" t="s">
        <v>2778</v>
      </c>
      <c r="B629" t="s">
        <v>936</v>
      </c>
      <c r="C629" s="9">
        <v>45851</v>
      </c>
      <c r="D629" s="9">
        <v>45854</v>
      </c>
      <c r="E629" t="s">
        <v>114</v>
      </c>
      <c r="F629" t="s">
        <v>814</v>
      </c>
      <c r="G629">
        <v>24</v>
      </c>
      <c r="H629">
        <v>118.8</v>
      </c>
      <c r="I629" t="s">
        <v>938</v>
      </c>
      <c r="K629" t="b">
        <f>IF(Table1[[#This Row],[dispatch_date]]-Table1[[#This Row],[order_date]] &gt;=0, TRUE, FALSE)</f>
        <v>1</v>
      </c>
    </row>
    <row r="630" spans="1:11" x14ac:dyDescent="0.2">
      <c r="A630" t="s">
        <v>1136</v>
      </c>
      <c r="B630" t="s">
        <v>1011</v>
      </c>
      <c r="C630" s="9">
        <v>45852</v>
      </c>
      <c r="D630" s="9">
        <v>45854</v>
      </c>
      <c r="E630" t="s">
        <v>129</v>
      </c>
      <c r="F630" t="s">
        <v>660</v>
      </c>
      <c r="G630">
        <v>12</v>
      </c>
      <c r="H630">
        <v>57</v>
      </c>
      <c r="I630" t="s">
        <v>916</v>
      </c>
      <c r="K630" t="b">
        <f>IF(Table1[[#This Row],[dispatch_date]]-Table1[[#This Row],[order_date]] &gt;=0, TRUE, FALSE)</f>
        <v>1</v>
      </c>
    </row>
    <row r="631" spans="1:11" x14ac:dyDescent="0.2">
      <c r="A631" t="s">
        <v>1458</v>
      </c>
      <c r="B631" t="s">
        <v>981</v>
      </c>
      <c r="C631" s="9">
        <v>45852</v>
      </c>
      <c r="D631" s="9">
        <v>45853</v>
      </c>
      <c r="E631" t="s">
        <v>88</v>
      </c>
      <c r="F631" t="s">
        <v>864</v>
      </c>
      <c r="G631">
        <v>24</v>
      </c>
      <c r="H631">
        <v>99.12</v>
      </c>
      <c r="I631" t="s">
        <v>916</v>
      </c>
      <c r="K631" t="b">
        <f>IF(Table1[[#This Row],[dispatch_date]]-Table1[[#This Row],[order_date]] &gt;=0, TRUE, FALSE)</f>
        <v>1</v>
      </c>
    </row>
    <row r="632" spans="1:11" x14ac:dyDescent="0.2">
      <c r="A632" t="s">
        <v>1154</v>
      </c>
      <c r="B632" t="s">
        <v>1021</v>
      </c>
      <c r="C632" s="9">
        <v>45853</v>
      </c>
      <c r="D632" s="9">
        <v>45855</v>
      </c>
      <c r="E632" t="s">
        <v>125</v>
      </c>
      <c r="G632">
        <v>6</v>
      </c>
      <c r="H632">
        <v>45.78</v>
      </c>
      <c r="I632" t="s">
        <v>916</v>
      </c>
      <c r="K632" t="b">
        <f>IF(Table1[[#This Row],[dispatch_date]]-Table1[[#This Row],[order_date]] &gt;=0, TRUE, FALSE)</f>
        <v>1</v>
      </c>
    </row>
    <row r="633" spans="1:11" x14ac:dyDescent="0.2">
      <c r="A633" t="s">
        <v>1641</v>
      </c>
      <c r="B633" t="s">
        <v>1046</v>
      </c>
      <c r="C633" s="9">
        <v>45853</v>
      </c>
      <c r="D633" s="9"/>
      <c r="E633" t="s">
        <v>38</v>
      </c>
      <c r="F633" t="s">
        <v>889</v>
      </c>
      <c r="G633">
        <v>36</v>
      </c>
      <c r="H633">
        <v>183.6</v>
      </c>
      <c r="I633" t="s">
        <v>912</v>
      </c>
      <c r="K633" t="b">
        <f>IF(Table1[[#This Row],[dispatch_date]]-Table1[[#This Row],[order_date]] &gt;=0, TRUE, FALSE)</f>
        <v>0</v>
      </c>
    </row>
    <row r="634" spans="1:11" x14ac:dyDescent="0.2">
      <c r="A634" t="s">
        <v>2050</v>
      </c>
      <c r="B634" t="s">
        <v>981</v>
      </c>
      <c r="C634" s="9">
        <v>45853</v>
      </c>
      <c r="D634" s="9"/>
      <c r="E634" t="s">
        <v>38</v>
      </c>
      <c r="F634" t="s">
        <v>889</v>
      </c>
      <c r="G634">
        <v>48</v>
      </c>
      <c r="H634">
        <v>232.56</v>
      </c>
      <c r="I634" t="s">
        <v>916</v>
      </c>
      <c r="K634" t="b">
        <f>IF(Table1[[#This Row],[dispatch_date]]-Table1[[#This Row],[order_date]] &gt;=0, TRUE, FALSE)</f>
        <v>0</v>
      </c>
    </row>
    <row r="635" spans="1:11" x14ac:dyDescent="0.2">
      <c r="A635" t="s">
        <v>2102</v>
      </c>
      <c r="B635" t="s">
        <v>1061</v>
      </c>
      <c r="C635" s="9">
        <v>45853</v>
      </c>
      <c r="D635" s="9">
        <v>45855</v>
      </c>
      <c r="E635" t="s">
        <v>90</v>
      </c>
      <c r="F635" t="s">
        <v>209</v>
      </c>
      <c r="G635">
        <v>24</v>
      </c>
      <c r="H635">
        <v>201.6</v>
      </c>
      <c r="I635" t="s">
        <v>927</v>
      </c>
      <c r="K635" t="b">
        <f>IF(Table1[[#This Row],[dispatch_date]]-Table1[[#This Row],[order_date]] &gt;=0, TRUE, FALSE)</f>
        <v>1</v>
      </c>
    </row>
    <row r="636" spans="1:11" x14ac:dyDescent="0.2">
      <c r="A636" t="s">
        <v>2267</v>
      </c>
      <c r="B636" t="s">
        <v>983</v>
      </c>
      <c r="C636" s="9">
        <v>45853</v>
      </c>
      <c r="D636" s="9">
        <v>45856</v>
      </c>
      <c r="E636" t="s">
        <v>116</v>
      </c>
      <c r="G636">
        <v>6</v>
      </c>
      <c r="H636">
        <v>29.04</v>
      </c>
      <c r="I636" t="s">
        <v>956</v>
      </c>
      <c r="K636" t="b">
        <f>IF(Table1[[#This Row],[dispatch_date]]-Table1[[#This Row],[order_date]] &gt;=0, TRUE, FALSE)</f>
        <v>1</v>
      </c>
    </row>
    <row r="637" spans="1:11" x14ac:dyDescent="0.2">
      <c r="A637" t="s">
        <v>2701</v>
      </c>
      <c r="B637" t="s">
        <v>1055</v>
      </c>
      <c r="C637" s="9">
        <v>45853</v>
      </c>
      <c r="D637" s="9">
        <v>45853</v>
      </c>
      <c r="E637" t="s">
        <v>33</v>
      </c>
      <c r="F637" t="s">
        <v>226</v>
      </c>
      <c r="G637">
        <v>6</v>
      </c>
      <c r="H637">
        <v>13.26</v>
      </c>
      <c r="I637" t="s">
        <v>927</v>
      </c>
      <c r="K637" t="b">
        <f>IF(Table1[[#This Row],[dispatch_date]]-Table1[[#This Row],[order_date]] &gt;=0, TRUE, FALSE)</f>
        <v>1</v>
      </c>
    </row>
    <row r="638" spans="1:11" x14ac:dyDescent="0.2">
      <c r="A638" t="s">
        <v>1113</v>
      </c>
      <c r="B638" t="s">
        <v>922</v>
      </c>
      <c r="C638" s="9">
        <v>45854</v>
      </c>
      <c r="D638" s="9">
        <v>45856</v>
      </c>
      <c r="E638" t="s">
        <v>44</v>
      </c>
      <c r="G638">
        <v>6</v>
      </c>
      <c r="H638">
        <v>36.299999999999997</v>
      </c>
      <c r="I638" t="s">
        <v>912</v>
      </c>
      <c r="K638" t="b">
        <f>IF(Table1[[#This Row],[dispatch_date]]-Table1[[#This Row],[order_date]] &gt;=0, TRUE, FALSE)</f>
        <v>1</v>
      </c>
    </row>
    <row r="639" spans="1:11" x14ac:dyDescent="0.2">
      <c r="A639" t="s">
        <v>1690</v>
      </c>
      <c r="B639" t="s">
        <v>1080</v>
      </c>
      <c r="C639" s="9">
        <v>45854</v>
      </c>
      <c r="D639" s="9">
        <v>45856</v>
      </c>
      <c r="E639" t="s">
        <v>58</v>
      </c>
      <c r="G639">
        <v>48</v>
      </c>
      <c r="H639">
        <v>302.39999999999998</v>
      </c>
      <c r="I639" t="s">
        <v>916</v>
      </c>
      <c r="K639" t="b">
        <f>IF(Table1[[#This Row],[dispatch_date]]-Table1[[#This Row],[order_date]] &gt;=0, TRUE, FALSE)</f>
        <v>1</v>
      </c>
    </row>
    <row r="640" spans="1:11" x14ac:dyDescent="0.2">
      <c r="A640" t="s">
        <v>2036</v>
      </c>
      <c r="B640" t="s">
        <v>939</v>
      </c>
      <c r="C640" s="9">
        <v>45854</v>
      </c>
      <c r="D640" s="9">
        <v>45856</v>
      </c>
      <c r="E640" t="s">
        <v>42</v>
      </c>
      <c r="F640" t="s">
        <v>695</v>
      </c>
      <c r="G640">
        <v>24</v>
      </c>
      <c r="H640">
        <v>78.48</v>
      </c>
      <c r="I640" t="s">
        <v>916</v>
      </c>
      <c r="K640" t="b">
        <f>IF(Table1[[#This Row],[dispatch_date]]-Table1[[#This Row],[order_date]] &gt;=0, TRUE, FALSE)</f>
        <v>1</v>
      </c>
    </row>
    <row r="641" spans="1:11" x14ac:dyDescent="0.2">
      <c r="A641" t="s">
        <v>2258</v>
      </c>
      <c r="B641" t="s">
        <v>901</v>
      </c>
      <c r="C641" s="9">
        <v>45854</v>
      </c>
      <c r="D641" s="9">
        <v>45855</v>
      </c>
      <c r="E641" t="s">
        <v>52</v>
      </c>
      <c r="F641" t="s">
        <v>732</v>
      </c>
      <c r="G641">
        <v>36</v>
      </c>
      <c r="H641">
        <v>168.61</v>
      </c>
      <c r="I641" t="s">
        <v>956</v>
      </c>
      <c r="K641" t="b">
        <f>IF(Table1[[#This Row],[dispatch_date]]-Table1[[#This Row],[order_date]] &gt;=0, TRUE, FALSE)</f>
        <v>1</v>
      </c>
    </row>
    <row r="642" spans="1:11" x14ac:dyDescent="0.2">
      <c r="A642" t="s">
        <v>1094</v>
      </c>
      <c r="B642" t="s">
        <v>951</v>
      </c>
      <c r="C642" s="9">
        <v>45855</v>
      </c>
      <c r="D642" s="9">
        <v>45856</v>
      </c>
      <c r="E642" t="s">
        <v>8</v>
      </c>
      <c r="F642" t="s">
        <v>599</v>
      </c>
      <c r="G642">
        <v>48</v>
      </c>
      <c r="H642">
        <v>289.44</v>
      </c>
      <c r="I642" t="s">
        <v>956</v>
      </c>
      <c r="K642" t="b">
        <f>IF(Table1[[#This Row],[dispatch_date]]-Table1[[#This Row],[order_date]] &gt;=0, TRUE, FALSE)</f>
        <v>1</v>
      </c>
    </row>
    <row r="643" spans="1:11" x14ac:dyDescent="0.2">
      <c r="A643" t="s">
        <v>2772</v>
      </c>
      <c r="B643" t="s">
        <v>1048</v>
      </c>
      <c r="C643" s="9">
        <v>45855</v>
      </c>
      <c r="D643" s="9">
        <v>45856</v>
      </c>
      <c r="E643" t="s">
        <v>95</v>
      </c>
      <c r="F643" t="s">
        <v>294</v>
      </c>
      <c r="G643">
        <v>6</v>
      </c>
      <c r="H643">
        <v>23.64</v>
      </c>
      <c r="I643" t="s">
        <v>912</v>
      </c>
      <c r="K643" t="b">
        <f>IF(Table1[[#This Row],[dispatch_date]]-Table1[[#This Row],[order_date]] &gt;=0, TRUE, FALSE)</f>
        <v>1</v>
      </c>
    </row>
    <row r="644" spans="1:11" x14ac:dyDescent="0.2">
      <c r="A644" t="s">
        <v>1354</v>
      </c>
      <c r="B644" t="s">
        <v>952</v>
      </c>
      <c r="C644" s="9">
        <v>45856</v>
      </c>
      <c r="D644" s="9">
        <v>45858</v>
      </c>
      <c r="E644" t="s">
        <v>28</v>
      </c>
      <c r="F644" t="s">
        <v>329</v>
      </c>
      <c r="G644">
        <v>36</v>
      </c>
      <c r="H644">
        <v>206.64</v>
      </c>
      <c r="I644" t="s">
        <v>938</v>
      </c>
      <c r="K644" t="b">
        <f>IF(Table1[[#This Row],[dispatch_date]]-Table1[[#This Row],[order_date]] &gt;=0, TRUE, FALSE)</f>
        <v>1</v>
      </c>
    </row>
    <row r="645" spans="1:11" x14ac:dyDescent="0.2">
      <c r="A645" t="s">
        <v>1465</v>
      </c>
      <c r="B645" t="s">
        <v>1076</v>
      </c>
      <c r="C645" s="9">
        <v>45856</v>
      </c>
      <c r="D645" s="9">
        <v>45858</v>
      </c>
      <c r="E645" t="s">
        <v>82</v>
      </c>
      <c r="F645" t="s">
        <v>410</v>
      </c>
      <c r="G645">
        <v>48</v>
      </c>
      <c r="H645">
        <v>94.56</v>
      </c>
      <c r="I645" t="s">
        <v>927</v>
      </c>
      <c r="K645" t="b">
        <f>IF(Table1[[#This Row],[dispatch_date]]-Table1[[#This Row],[order_date]] &gt;=0, TRUE, FALSE)</f>
        <v>1</v>
      </c>
    </row>
    <row r="646" spans="1:11" x14ac:dyDescent="0.2">
      <c r="A646" t="s">
        <v>2033</v>
      </c>
      <c r="B646" t="s">
        <v>952</v>
      </c>
      <c r="C646" s="9">
        <v>45856</v>
      </c>
      <c r="D646" s="9">
        <v>45857</v>
      </c>
      <c r="E646" t="s">
        <v>40</v>
      </c>
      <c r="F646" t="s">
        <v>892</v>
      </c>
      <c r="G646">
        <v>24</v>
      </c>
      <c r="H646">
        <v>93.36</v>
      </c>
      <c r="I646" t="s">
        <v>938</v>
      </c>
      <c r="K646" t="b">
        <f>IF(Table1[[#This Row],[dispatch_date]]-Table1[[#This Row],[order_date]] &gt;=0, TRUE, FALSE)</f>
        <v>1</v>
      </c>
    </row>
    <row r="647" spans="1:11" x14ac:dyDescent="0.2">
      <c r="A647" t="s">
        <v>2677</v>
      </c>
      <c r="B647" t="s">
        <v>918</v>
      </c>
      <c r="C647" s="9">
        <v>45856</v>
      </c>
      <c r="D647" s="9">
        <v>45858</v>
      </c>
      <c r="E647" t="s">
        <v>69</v>
      </c>
      <c r="F647" t="s">
        <v>576</v>
      </c>
      <c r="G647">
        <v>24</v>
      </c>
      <c r="H647">
        <v>128.16</v>
      </c>
      <c r="I647" t="s">
        <v>912</v>
      </c>
      <c r="K647" t="b">
        <f>IF(Table1[[#This Row],[dispatch_date]]-Table1[[#This Row],[order_date]] &gt;=0, TRUE, FALSE)</f>
        <v>1</v>
      </c>
    </row>
    <row r="648" spans="1:11" x14ac:dyDescent="0.2">
      <c r="A648" t="s">
        <v>2691</v>
      </c>
      <c r="B648" t="s">
        <v>960</v>
      </c>
      <c r="C648" s="9">
        <v>45856</v>
      </c>
      <c r="D648" s="9">
        <v>45857</v>
      </c>
      <c r="E648" t="s">
        <v>17</v>
      </c>
      <c r="G648">
        <v>6</v>
      </c>
      <c r="H648">
        <v>35.94</v>
      </c>
      <c r="I648" t="s">
        <v>938</v>
      </c>
      <c r="K648" t="b">
        <f>IF(Table1[[#This Row],[dispatch_date]]-Table1[[#This Row],[order_date]] &gt;=0, TRUE, FALSE)</f>
        <v>1</v>
      </c>
    </row>
    <row r="649" spans="1:11" x14ac:dyDescent="0.2">
      <c r="A649" t="s">
        <v>1382</v>
      </c>
      <c r="B649" t="s">
        <v>1001</v>
      </c>
      <c r="C649" s="9">
        <v>45857</v>
      </c>
      <c r="D649" s="9">
        <v>45859</v>
      </c>
      <c r="E649" t="s">
        <v>121</v>
      </c>
      <c r="F649" t="s">
        <v>593</v>
      </c>
      <c r="G649">
        <v>6</v>
      </c>
      <c r="H649">
        <v>73.19</v>
      </c>
      <c r="I649" t="s">
        <v>916</v>
      </c>
      <c r="K649" t="b">
        <f>IF(Table1[[#This Row],[dispatch_date]]-Table1[[#This Row],[order_date]] &gt;=0, TRUE, FALSE)</f>
        <v>1</v>
      </c>
    </row>
    <row r="650" spans="1:11" x14ac:dyDescent="0.2">
      <c r="A650" t="s">
        <v>1456</v>
      </c>
      <c r="B650" t="s">
        <v>1042</v>
      </c>
      <c r="C650" s="9">
        <v>45857</v>
      </c>
      <c r="D650" s="9">
        <v>45859</v>
      </c>
      <c r="E650" t="s">
        <v>42</v>
      </c>
      <c r="F650" t="s">
        <v>835</v>
      </c>
      <c r="G650">
        <v>36</v>
      </c>
      <c r="H650">
        <v>111.83</v>
      </c>
      <c r="I650" t="s">
        <v>956</v>
      </c>
      <c r="K650" t="b">
        <f>IF(Table1[[#This Row],[dispatch_date]]-Table1[[#This Row],[order_date]] &gt;=0, TRUE, FALSE)</f>
        <v>1</v>
      </c>
    </row>
    <row r="651" spans="1:11" x14ac:dyDescent="0.2">
      <c r="A651" t="s">
        <v>1947</v>
      </c>
      <c r="B651" t="s">
        <v>1001</v>
      </c>
      <c r="C651" s="9">
        <v>45857</v>
      </c>
      <c r="D651" s="9">
        <v>45859</v>
      </c>
      <c r="E651" t="s">
        <v>38</v>
      </c>
      <c r="F651" t="s">
        <v>889</v>
      </c>
      <c r="G651">
        <v>72</v>
      </c>
      <c r="H651">
        <v>367.2</v>
      </c>
      <c r="I651" t="s">
        <v>916</v>
      </c>
      <c r="K651" t="b">
        <f>IF(Table1[[#This Row],[dispatch_date]]-Table1[[#This Row],[order_date]] &gt;=0, TRUE, FALSE)</f>
        <v>1</v>
      </c>
    </row>
    <row r="652" spans="1:11" x14ac:dyDescent="0.2">
      <c r="A652" t="s">
        <v>2335</v>
      </c>
      <c r="B652" t="s">
        <v>987</v>
      </c>
      <c r="C652" s="9">
        <v>45857</v>
      </c>
      <c r="D652" s="9"/>
      <c r="E652" t="s">
        <v>101</v>
      </c>
      <c r="F652" t="s">
        <v>773</v>
      </c>
      <c r="G652">
        <v>48</v>
      </c>
      <c r="H652">
        <v>161.28</v>
      </c>
      <c r="I652" t="s">
        <v>1079</v>
      </c>
      <c r="K652" t="b">
        <f>IF(Table1[[#This Row],[dispatch_date]]-Table1[[#This Row],[order_date]] &gt;=0, TRUE, FALSE)</f>
        <v>0</v>
      </c>
    </row>
    <row r="653" spans="1:11" x14ac:dyDescent="0.2">
      <c r="A653" t="s">
        <v>1460</v>
      </c>
      <c r="B653" t="s">
        <v>910</v>
      </c>
      <c r="C653" s="9">
        <v>45858</v>
      </c>
      <c r="D653" s="9">
        <v>45860</v>
      </c>
      <c r="E653" t="s">
        <v>65</v>
      </c>
      <c r="F653" t="s">
        <v>807</v>
      </c>
      <c r="G653">
        <v>6</v>
      </c>
      <c r="H653">
        <v>79.62</v>
      </c>
      <c r="I653" t="s">
        <v>912</v>
      </c>
      <c r="K653" t="b">
        <f>IF(Table1[[#This Row],[dispatch_date]]-Table1[[#This Row],[order_date]] &gt;=0, TRUE, FALSE)</f>
        <v>1</v>
      </c>
    </row>
    <row r="654" spans="1:11" x14ac:dyDescent="0.2">
      <c r="A654" t="s">
        <v>1825</v>
      </c>
      <c r="B654" t="s">
        <v>1060</v>
      </c>
      <c r="C654" s="9">
        <v>45858</v>
      </c>
      <c r="D654" s="9">
        <v>45858</v>
      </c>
      <c r="E654" t="s">
        <v>8</v>
      </c>
      <c r="F654" t="s">
        <v>599</v>
      </c>
      <c r="G654">
        <v>12</v>
      </c>
      <c r="H654">
        <v>72.36</v>
      </c>
      <c r="I654" t="s">
        <v>956</v>
      </c>
      <c r="K654" t="b">
        <f>IF(Table1[[#This Row],[dispatch_date]]-Table1[[#This Row],[order_date]] &gt;=0, TRUE, FALSE)</f>
        <v>1</v>
      </c>
    </row>
    <row r="655" spans="1:11" x14ac:dyDescent="0.2">
      <c r="A655" t="s">
        <v>2204</v>
      </c>
      <c r="B655" t="s">
        <v>1042</v>
      </c>
      <c r="C655" s="9">
        <v>45858</v>
      </c>
      <c r="D655" s="9"/>
      <c r="E655" t="s">
        <v>125</v>
      </c>
      <c r="F655" t="s">
        <v>491</v>
      </c>
      <c r="G655">
        <v>24</v>
      </c>
      <c r="H655">
        <v>183.12</v>
      </c>
      <c r="I655" t="s">
        <v>927</v>
      </c>
      <c r="K655" t="b">
        <f>IF(Table1[[#This Row],[dispatch_date]]-Table1[[#This Row],[order_date]] &gt;=0, TRUE, FALSE)</f>
        <v>0</v>
      </c>
    </row>
    <row r="656" spans="1:11" x14ac:dyDescent="0.2">
      <c r="A656" t="s">
        <v>2371</v>
      </c>
      <c r="B656" t="s">
        <v>979</v>
      </c>
      <c r="C656" s="9">
        <v>45858</v>
      </c>
      <c r="D656" s="9">
        <v>45859</v>
      </c>
      <c r="E656" t="s">
        <v>69</v>
      </c>
      <c r="G656">
        <v>12</v>
      </c>
      <c r="H656">
        <v>64.08</v>
      </c>
      <c r="I656" t="s">
        <v>927</v>
      </c>
      <c r="K656" t="b">
        <f>IF(Table1[[#This Row],[dispatch_date]]-Table1[[#This Row],[order_date]] &gt;=0, TRUE, FALSE)</f>
        <v>1</v>
      </c>
    </row>
    <row r="657" spans="1:11" x14ac:dyDescent="0.2">
      <c r="A657" t="s">
        <v>2414</v>
      </c>
      <c r="B657" t="s">
        <v>1045</v>
      </c>
      <c r="C657" s="9">
        <v>45858</v>
      </c>
      <c r="D657" s="9">
        <v>45859</v>
      </c>
      <c r="E657" t="s">
        <v>99</v>
      </c>
      <c r="F657" t="s">
        <v>812</v>
      </c>
      <c r="G657">
        <v>24</v>
      </c>
      <c r="H657">
        <v>177.36</v>
      </c>
      <c r="I657" t="s">
        <v>912</v>
      </c>
      <c r="K657" t="b">
        <f>IF(Table1[[#This Row],[dispatch_date]]-Table1[[#This Row],[order_date]] &gt;=0, TRUE, FALSE)</f>
        <v>1</v>
      </c>
    </row>
    <row r="658" spans="1:11" x14ac:dyDescent="0.2">
      <c r="A658" t="s">
        <v>1121</v>
      </c>
      <c r="B658" t="s">
        <v>1056</v>
      </c>
      <c r="C658" s="9">
        <v>45859</v>
      </c>
      <c r="D658" s="9">
        <v>45862</v>
      </c>
      <c r="E658" t="s">
        <v>44</v>
      </c>
      <c r="F658" t="s">
        <v>511</v>
      </c>
      <c r="G658">
        <v>24</v>
      </c>
      <c r="H658">
        <v>145.19999999999999</v>
      </c>
      <c r="I658" t="s">
        <v>912</v>
      </c>
      <c r="K658" t="b">
        <f>IF(Table1[[#This Row],[dispatch_date]]-Table1[[#This Row],[order_date]] &gt;=0, TRUE, FALSE)</f>
        <v>1</v>
      </c>
    </row>
    <row r="659" spans="1:11" x14ac:dyDescent="0.2">
      <c r="A659" t="s">
        <v>1596</v>
      </c>
      <c r="B659" t="s">
        <v>1006</v>
      </c>
      <c r="C659" s="9">
        <v>45859</v>
      </c>
      <c r="D659" s="9">
        <v>45860</v>
      </c>
      <c r="E659" t="s">
        <v>99</v>
      </c>
      <c r="F659" t="s">
        <v>804</v>
      </c>
      <c r="G659">
        <v>72</v>
      </c>
      <c r="H659">
        <v>532.08000000000004</v>
      </c>
      <c r="I659" t="s">
        <v>912</v>
      </c>
      <c r="K659" t="b">
        <f>IF(Table1[[#This Row],[dispatch_date]]-Table1[[#This Row],[order_date]] &gt;=0, TRUE, FALSE)</f>
        <v>1</v>
      </c>
    </row>
    <row r="660" spans="1:11" x14ac:dyDescent="0.2">
      <c r="A660" t="s">
        <v>1669</v>
      </c>
      <c r="B660" t="s">
        <v>1077</v>
      </c>
      <c r="C660" s="9">
        <v>45859</v>
      </c>
      <c r="D660" s="9">
        <v>45862</v>
      </c>
      <c r="E660" t="s">
        <v>125</v>
      </c>
      <c r="G660">
        <v>36</v>
      </c>
      <c r="H660">
        <v>274.68</v>
      </c>
      <c r="I660" t="s">
        <v>1079</v>
      </c>
      <c r="K660" t="b">
        <f>IF(Table1[[#This Row],[dispatch_date]]-Table1[[#This Row],[order_date]] &gt;=0, TRUE, FALSE)</f>
        <v>1</v>
      </c>
    </row>
    <row r="661" spans="1:11" x14ac:dyDescent="0.2">
      <c r="A661" t="s">
        <v>1960</v>
      </c>
      <c r="B661" t="s">
        <v>1004</v>
      </c>
      <c r="C661" s="9">
        <v>45859</v>
      </c>
      <c r="D661" s="9">
        <v>45860</v>
      </c>
      <c r="E661" t="s">
        <v>105</v>
      </c>
      <c r="F661" t="s">
        <v>276</v>
      </c>
      <c r="G661">
        <v>24</v>
      </c>
      <c r="H661">
        <v>135.66</v>
      </c>
      <c r="I661" t="s">
        <v>927</v>
      </c>
      <c r="K661" t="b">
        <f>IF(Table1[[#This Row],[dispatch_date]]-Table1[[#This Row],[order_date]] &gt;=0, TRUE, FALSE)</f>
        <v>1</v>
      </c>
    </row>
    <row r="662" spans="1:11" x14ac:dyDescent="0.2">
      <c r="A662" t="s">
        <v>2139</v>
      </c>
      <c r="B662" t="s">
        <v>973</v>
      </c>
      <c r="C662" s="9">
        <v>45859</v>
      </c>
      <c r="D662" s="9">
        <v>45861</v>
      </c>
      <c r="E662" t="s">
        <v>118</v>
      </c>
      <c r="F662" t="s">
        <v>396</v>
      </c>
      <c r="G662">
        <v>24</v>
      </c>
      <c r="H662">
        <v>315.36</v>
      </c>
      <c r="I662" t="s">
        <v>912</v>
      </c>
      <c r="K662" t="b">
        <f>IF(Table1[[#This Row],[dispatch_date]]-Table1[[#This Row],[order_date]] &gt;=0, TRUE, FALSE)</f>
        <v>1</v>
      </c>
    </row>
    <row r="663" spans="1:11" x14ac:dyDescent="0.2">
      <c r="A663" t="s">
        <v>2182</v>
      </c>
      <c r="B663" t="s">
        <v>1027</v>
      </c>
      <c r="C663" s="9">
        <v>45859</v>
      </c>
      <c r="D663" s="9">
        <v>45861</v>
      </c>
      <c r="E663" t="s">
        <v>52</v>
      </c>
      <c r="G663">
        <v>48</v>
      </c>
      <c r="H663">
        <v>236.64</v>
      </c>
      <c r="I663" t="s">
        <v>916</v>
      </c>
      <c r="K663" t="b">
        <f>IF(Table1[[#This Row],[dispatch_date]]-Table1[[#This Row],[order_date]] &gt;=0, TRUE, FALSE)</f>
        <v>1</v>
      </c>
    </row>
    <row r="664" spans="1:11" x14ac:dyDescent="0.2">
      <c r="A664" t="s">
        <v>2752</v>
      </c>
      <c r="B664" t="s">
        <v>996</v>
      </c>
      <c r="C664" s="9">
        <v>45859</v>
      </c>
      <c r="D664" s="9">
        <v>45862</v>
      </c>
      <c r="E664" t="s">
        <v>118</v>
      </c>
      <c r="F664" t="s">
        <v>500</v>
      </c>
      <c r="G664">
        <v>6</v>
      </c>
      <c r="H664">
        <v>78.84</v>
      </c>
      <c r="I664" t="s">
        <v>927</v>
      </c>
      <c r="K664" t="b">
        <f>IF(Table1[[#This Row],[dispatch_date]]-Table1[[#This Row],[order_date]] &gt;=0, TRUE, FALSE)</f>
        <v>1</v>
      </c>
    </row>
    <row r="665" spans="1:11" x14ac:dyDescent="0.2">
      <c r="A665" t="s">
        <v>1133</v>
      </c>
      <c r="B665" t="s">
        <v>1040</v>
      </c>
      <c r="C665" s="9">
        <v>45860</v>
      </c>
      <c r="D665" s="9">
        <v>45862</v>
      </c>
      <c r="E665" t="s">
        <v>25</v>
      </c>
      <c r="F665" t="s">
        <v>392</v>
      </c>
      <c r="G665">
        <v>6</v>
      </c>
      <c r="H665">
        <v>33.299999999999997</v>
      </c>
      <c r="I665" t="s">
        <v>916</v>
      </c>
      <c r="K665" t="b">
        <f>IF(Table1[[#This Row],[dispatch_date]]-Table1[[#This Row],[order_date]] &gt;=0, TRUE, FALSE)</f>
        <v>1</v>
      </c>
    </row>
    <row r="666" spans="1:11" x14ac:dyDescent="0.2">
      <c r="A666" t="s">
        <v>1583</v>
      </c>
      <c r="B666" t="s">
        <v>951</v>
      </c>
      <c r="C666" s="9">
        <v>45860</v>
      </c>
      <c r="D666" s="9">
        <v>45863</v>
      </c>
      <c r="E666" t="s">
        <v>69</v>
      </c>
      <c r="G666">
        <v>36</v>
      </c>
      <c r="H666">
        <v>192.24</v>
      </c>
      <c r="I666" t="s">
        <v>956</v>
      </c>
      <c r="K666" t="b">
        <f>IF(Table1[[#This Row],[dispatch_date]]-Table1[[#This Row],[order_date]] &gt;=0, TRUE, FALSE)</f>
        <v>1</v>
      </c>
    </row>
    <row r="667" spans="1:11" x14ac:dyDescent="0.2">
      <c r="A667" t="s">
        <v>2537</v>
      </c>
      <c r="B667" t="s">
        <v>996</v>
      </c>
      <c r="C667" s="9">
        <v>45860</v>
      </c>
      <c r="D667" s="9">
        <v>45861</v>
      </c>
      <c r="E667" t="s">
        <v>69</v>
      </c>
      <c r="G667">
        <v>6</v>
      </c>
      <c r="H667">
        <v>32.04</v>
      </c>
      <c r="I667" t="s">
        <v>956</v>
      </c>
      <c r="K667" t="b">
        <f>IF(Table1[[#This Row],[dispatch_date]]-Table1[[#This Row],[order_date]] &gt;=0, TRUE, FALSE)</f>
        <v>1</v>
      </c>
    </row>
    <row r="668" spans="1:11" x14ac:dyDescent="0.2">
      <c r="A668" t="s">
        <v>1834</v>
      </c>
      <c r="B668" t="s">
        <v>979</v>
      </c>
      <c r="C668" s="9">
        <v>45861</v>
      </c>
      <c r="D668" s="9">
        <v>45864</v>
      </c>
      <c r="E668" t="s">
        <v>54</v>
      </c>
      <c r="F668" t="s">
        <v>529</v>
      </c>
      <c r="G668">
        <v>6</v>
      </c>
      <c r="H668">
        <v>26.58</v>
      </c>
      <c r="I668" t="s">
        <v>927</v>
      </c>
      <c r="K668" t="b">
        <f>IF(Table1[[#This Row],[dispatch_date]]-Table1[[#This Row],[order_date]] &gt;=0, TRUE, FALSE)</f>
        <v>1</v>
      </c>
    </row>
    <row r="669" spans="1:11" x14ac:dyDescent="0.2">
      <c r="A669" t="s">
        <v>1974</v>
      </c>
      <c r="B669" t="s">
        <v>951</v>
      </c>
      <c r="C669" s="9">
        <v>45861</v>
      </c>
      <c r="D669" s="9">
        <v>45864</v>
      </c>
      <c r="E669" t="s">
        <v>88</v>
      </c>
      <c r="G669">
        <v>36</v>
      </c>
      <c r="H669">
        <v>141.25</v>
      </c>
      <c r="I669" t="s">
        <v>956</v>
      </c>
      <c r="K669" t="b">
        <f>IF(Table1[[#This Row],[dispatch_date]]-Table1[[#This Row],[order_date]] &gt;=0, TRUE, FALSE)</f>
        <v>1</v>
      </c>
    </row>
    <row r="670" spans="1:11" x14ac:dyDescent="0.2">
      <c r="A670" t="s">
        <v>2011</v>
      </c>
      <c r="B670" t="s">
        <v>942</v>
      </c>
      <c r="C670" s="9">
        <v>45861</v>
      </c>
      <c r="D670" s="9">
        <v>45862</v>
      </c>
      <c r="E670" t="s">
        <v>86</v>
      </c>
      <c r="F670" t="s">
        <v>310</v>
      </c>
      <c r="G670">
        <v>24</v>
      </c>
      <c r="H670">
        <v>72.73</v>
      </c>
      <c r="I670" t="s">
        <v>916</v>
      </c>
      <c r="K670" t="b">
        <f>IF(Table1[[#This Row],[dispatch_date]]-Table1[[#This Row],[order_date]] &gt;=0, TRUE, FALSE)</f>
        <v>1</v>
      </c>
    </row>
    <row r="671" spans="1:11" x14ac:dyDescent="0.2">
      <c r="A671" t="s">
        <v>2060</v>
      </c>
      <c r="B671" t="s">
        <v>1048</v>
      </c>
      <c r="C671" s="9">
        <v>45861</v>
      </c>
      <c r="D671" s="9">
        <v>45863</v>
      </c>
      <c r="E671" t="s">
        <v>69</v>
      </c>
      <c r="F671" t="s">
        <v>846</v>
      </c>
      <c r="G671">
        <v>24</v>
      </c>
      <c r="H671">
        <v>128.16</v>
      </c>
      <c r="I671" t="s">
        <v>912</v>
      </c>
      <c r="K671" t="b">
        <f>IF(Table1[[#This Row],[dispatch_date]]-Table1[[#This Row],[order_date]] &gt;=0, TRUE, FALSE)</f>
        <v>1</v>
      </c>
    </row>
    <row r="672" spans="1:11" x14ac:dyDescent="0.2">
      <c r="A672" t="s">
        <v>2275</v>
      </c>
      <c r="B672" t="s">
        <v>1060</v>
      </c>
      <c r="C672" s="9">
        <v>45861</v>
      </c>
      <c r="D672" s="9">
        <v>45864</v>
      </c>
      <c r="E672" t="s">
        <v>82</v>
      </c>
      <c r="F672" t="s">
        <v>403</v>
      </c>
      <c r="G672">
        <v>36</v>
      </c>
      <c r="H672">
        <v>70.92</v>
      </c>
      <c r="I672" t="s">
        <v>956</v>
      </c>
      <c r="K672" t="b">
        <f>IF(Table1[[#This Row],[dispatch_date]]-Table1[[#This Row],[order_date]] &gt;=0, TRUE, FALSE)</f>
        <v>1</v>
      </c>
    </row>
    <row r="673" spans="1:11" x14ac:dyDescent="0.2">
      <c r="A673" t="s">
        <v>1246</v>
      </c>
      <c r="B673" t="s">
        <v>1016</v>
      </c>
      <c r="C673" s="9">
        <v>45862</v>
      </c>
      <c r="D673" s="9">
        <v>45862</v>
      </c>
      <c r="E673" t="s">
        <v>19</v>
      </c>
      <c r="F673" t="s">
        <v>417</v>
      </c>
      <c r="G673">
        <v>48</v>
      </c>
      <c r="H673">
        <v>97.44</v>
      </c>
      <c r="I673" t="s">
        <v>912</v>
      </c>
      <c r="K673" t="b">
        <f>IF(Table1[[#This Row],[dispatch_date]]-Table1[[#This Row],[order_date]] &gt;=0, TRUE, FALSE)</f>
        <v>1</v>
      </c>
    </row>
    <row r="674" spans="1:11" x14ac:dyDescent="0.2">
      <c r="A674" t="s">
        <v>1680</v>
      </c>
      <c r="B674" t="s">
        <v>971</v>
      </c>
      <c r="C674" s="9">
        <v>45862</v>
      </c>
      <c r="D674" s="9">
        <v>45862</v>
      </c>
      <c r="E674" t="s">
        <v>103</v>
      </c>
      <c r="F674" t="s">
        <v>581</v>
      </c>
      <c r="G674">
        <v>48</v>
      </c>
      <c r="H674">
        <v>346.08</v>
      </c>
      <c r="I674" t="s">
        <v>956</v>
      </c>
      <c r="K674" t="b">
        <f>IF(Table1[[#This Row],[dispatch_date]]-Table1[[#This Row],[order_date]] &gt;=0, TRUE, FALSE)</f>
        <v>1</v>
      </c>
    </row>
    <row r="675" spans="1:11" x14ac:dyDescent="0.2">
      <c r="A675" t="s">
        <v>2274</v>
      </c>
      <c r="B675" t="s">
        <v>1021</v>
      </c>
      <c r="C675" s="9">
        <v>45862</v>
      </c>
      <c r="D675" s="9">
        <v>45863</v>
      </c>
      <c r="E675" t="s">
        <v>36</v>
      </c>
      <c r="G675">
        <v>36</v>
      </c>
      <c r="H675">
        <v>61.56</v>
      </c>
      <c r="I675" t="s">
        <v>916</v>
      </c>
      <c r="K675" t="b">
        <f>IF(Table1[[#This Row],[dispatch_date]]-Table1[[#This Row],[order_date]] &gt;=0, TRUE, FALSE)</f>
        <v>1</v>
      </c>
    </row>
    <row r="676" spans="1:11" x14ac:dyDescent="0.2">
      <c r="A676" t="s">
        <v>2594</v>
      </c>
      <c r="B676" t="s">
        <v>1027</v>
      </c>
      <c r="C676" s="9">
        <v>45862</v>
      </c>
      <c r="D676" s="9">
        <v>45863</v>
      </c>
      <c r="E676" t="s">
        <v>56</v>
      </c>
      <c r="F676" t="s">
        <v>606</v>
      </c>
      <c r="G676">
        <v>72</v>
      </c>
      <c r="H676">
        <v>423.36</v>
      </c>
      <c r="I676" t="s">
        <v>927</v>
      </c>
      <c r="K676" t="b">
        <f>IF(Table1[[#This Row],[dispatch_date]]-Table1[[#This Row],[order_date]] &gt;=0, TRUE, FALSE)</f>
        <v>1</v>
      </c>
    </row>
    <row r="677" spans="1:11" x14ac:dyDescent="0.2">
      <c r="A677" t="s">
        <v>1652</v>
      </c>
      <c r="B677" t="s">
        <v>1069</v>
      </c>
      <c r="C677" s="9">
        <v>45863</v>
      </c>
      <c r="D677" s="9">
        <v>45866</v>
      </c>
      <c r="E677" t="s">
        <v>25</v>
      </c>
      <c r="G677">
        <v>72</v>
      </c>
      <c r="H677">
        <v>379.62</v>
      </c>
      <c r="I677" t="s">
        <v>956</v>
      </c>
      <c r="K677" t="b">
        <f>IF(Table1[[#This Row],[dispatch_date]]-Table1[[#This Row],[order_date]] &gt;=0, TRUE, FALSE)</f>
        <v>1</v>
      </c>
    </row>
    <row r="678" spans="1:11" x14ac:dyDescent="0.2">
      <c r="A678" t="s">
        <v>1715</v>
      </c>
      <c r="B678" t="s">
        <v>1052</v>
      </c>
      <c r="C678" s="9">
        <v>45863</v>
      </c>
      <c r="D678" s="9">
        <v>45866</v>
      </c>
      <c r="E678" t="s">
        <v>69</v>
      </c>
      <c r="F678" t="s">
        <v>837</v>
      </c>
      <c r="G678">
        <v>6</v>
      </c>
      <c r="H678">
        <v>32.04</v>
      </c>
      <c r="I678" t="s">
        <v>956</v>
      </c>
      <c r="K678" t="b">
        <f>IF(Table1[[#This Row],[dispatch_date]]-Table1[[#This Row],[order_date]] &gt;=0, TRUE, FALSE)</f>
        <v>1</v>
      </c>
    </row>
    <row r="679" spans="1:11" x14ac:dyDescent="0.2">
      <c r="A679" t="s">
        <v>2183</v>
      </c>
      <c r="B679" t="s">
        <v>1056</v>
      </c>
      <c r="C679" s="9">
        <v>45863</v>
      </c>
      <c r="D679" s="9">
        <v>45864</v>
      </c>
      <c r="E679" t="s">
        <v>97</v>
      </c>
      <c r="G679">
        <v>6</v>
      </c>
      <c r="H679">
        <v>32.28</v>
      </c>
      <c r="I679" t="s">
        <v>912</v>
      </c>
      <c r="K679" t="b">
        <f>IF(Table1[[#This Row],[dispatch_date]]-Table1[[#This Row],[order_date]] &gt;=0, TRUE, FALSE)</f>
        <v>1</v>
      </c>
    </row>
    <row r="680" spans="1:11" x14ac:dyDescent="0.2">
      <c r="A680" t="s">
        <v>2233</v>
      </c>
      <c r="B680" t="s">
        <v>1074</v>
      </c>
      <c r="C680" s="9">
        <v>45863</v>
      </c>
      <c r="D680" s="9">
        <v>45866</v>
      </c>
      <c r="E680" t="s">
        <v>110</v>
      </c>
      <c r="F680" t="s">
        <v>866</v>
      </c>
      <c r="G680">
        <v>6</v>
      </c>
      <c r="H680">
        <v>18.64</v>
      </c>
      <c r="I680" t="s">
        <v>916</v>
      </c>
      <c r="K680" t="b">
        <f>IF(Table1[[#This Row],[dispatch_date]]-Table1[[#This Row],[order_date]] &gt;=0, TRUE, FALSE)</f>
        <v>1</v>
      </c>
    </row>
    <row r="681" spans="1:11" x14ac:dyDescent="0.2">
      <c r="A681" t="s">
        <v>1789</v>
      </c>
      <c r="B681" t="s">
        <v>1021</v>
      </c>
      <c r="C681" s="9">
        <v>45864</v>
      </c>
      <c r="D681" s="9">
        <v>45867</v>
      </c>
      <c r="E681" t="s">
        <v>108</v>
      </c>
      <c r="F681" t="s">
        <v>821</v>
      </c>
      <c r="G681">
        <v>24</v>
      </c>
      <c r="H681">
        <v>171.36</v>
      </c>
      <c r="I681" t="s">
        <v>916</v>
      </c>
      <c r="K681" t="b">
        <f>IF(Table1[[#This Row],[dispatch_date]]-Table1[[#This Row],[order_date]] &gt;=0, TRUE, FALSE)</f>
        <v>1</v>
      </c>
    </row>
    <row r="682" spans="1:11" x14ac:dyDescent="0.2">
      <c r="A682" t="s">
        <v>2528</v>
      </c>
      <c r="B682" t="s">
        <v>965</v>
      </c>
      <c r="C682" s="9">
        <v>45864</v>
      </c>
      <c r="D682" s="9">
        <v>45867</v>
      </c>
      <c r="E682" t="s">
        <v>67</v>
      </c>
      <c r="F682" t="s">
        <v>857</v>
      </c>
      <c r="G682">
        <v>48</v>
      </c>
      <c r="H682">
        <v>254.4</v>
      </c>
      <c r="I682" t="s">
        <v>956</v>
      </c>
      <c r="K682" t="b">
        <f>IF(Table1[[#This Row],[dispatch_date]]-Table1[[#This Row],[order_date]] &gt;=0, TRUE, FALSE)</f>
        <v>1</v>
      </c>
    </row>
    <row r="683" spans="1:11" x14ac:dyDescent="0.2">
      <c r="A683" t="s">
        <v>1700</v>
      </c>
      <c r="B683" t="s">
        <v>985</v>
      </c>
      <c r="C683" s="9">
        <v>45865</v>
      </c>
      <c r="D683" s="9">
        <v>45866</v>
      </c>
      <c r="E683" t="s">
        <v>22</v>
      </c>
      <c r="F683" t="s">
        <v>179</v>
      </c>
      <c r="G683">
        <v>24</v>
      </c>
      <c r="H683">
        <v>119.28</v>
      </c>
      <c r="I683" t="s">
        <v>1079</v>
      </c>
      <c r="K683" t="b">
        <f>IF(Table1[[#This Row],[dispatch_date]]-Table1[[#This Row],[order_date]] &gt;=0, TRUE, FALSE)</f>
        <v>1</v>
      </c>
    </row>
    <row r="684" spans="1:11" x14ac:dyDescent="0.2">
      <c r="A684" t="s">
        <v>2342</v>
      </c>
      <c r="B684" t="s">
        <v>998</v>
      </c>
      <c r="C684" s="9">
        <v>45865</v>
      </c>
      <c r="D684" s="9">
        <v>45868</v>
      </c>
      <c r="E684" t="s">
        <v>28</v>
      </c>
      <c r="G684">
        <v>24</v>
      </c>
      <c r="H684">
        <v>137.76</v>
      </c>
      <c r="I684" t="s">
        <v>938</v>
      </c>
      <c r="K684" t="b">
        <f>IF(Table1[[#This Row],[dispatch_date]]-Table1[[#This Row],[order_date]] &gt;=0, TRUE, FALSE)</f>
        <v>1</v>
      </c>
    </row>
    <row r="685" spans="1:11" x14ac:dyDescent="0.2">
      <c r="A685" t="s">
        <v>2595</v>
      </c>
      <c r="B685" t="s">
        <v>1040</v>
      </c>
      <c r="C685" s="9">
        <v>45865</v>
      </c>
      <c r="D685" s="9">
        <v>45865</v>
      </c>
      <c r="E685" t="s">
        <v>80</v>
      </c>
      <c r="F685" t="s">
        <v>352</v>
      </c>
      <c r="G685">
        <v>24</v>
      </c>
      <c r="H685">
        <v>142.80000000000001</v>
      </c>
      <c r="I685" t="s">
        <v>912</v>
      </c>
      <c r="K685" t="b">
        <f>IF(Table1[[#This Row],[dispatch_date]]-Table1[[#This Row],[order_date]] &gt;=0, TRUE, FALSE)</f>
        <v>1</v>
      </c>
    </row>
    <row r="686" spans="1:11" x14ac:dyDescent="0.2">
      <c r="A686" t="s">
        <v>1346</v>
      </c>
      <c r="B686" t="s">
        <v>1077</v>
      </c>
      <c r="C686" s="9">
        <v>45866</v>
      </c>
      <c r="D686" s="9">
        <v>45869</v>
      </c>
      <c r="E686" t="s">
        <v>118</v>
      </c>
      <c r="F686" t="s">
        <v>396</v>
      </c>
      <c r="G686">
        <v>72</v>
      </c>
      <c r="H686">
        <v>946.08</v>
      </c>
      <c r="I686" t="s">
        <v>1079</v>
      </c>
      <c r="K686" t="b">
        <f>IF(Table1[[#This Row],[dispatch_date]]-Table1[[#This Row],[order_date]] &gt;=0, TRUE, FALSE)</f>
        <v>1</v>
      </c>
    </row>
    <row r="687" spans="1:11" x14ac:dyDescent="0.2">
      <c r="A687" t="s">
        <v>1373</v>
      </c>
      <c r="B687" t="s">
        <v>1049</v>
      </c>
      <c r="C687" s="9">
        <v>45866</v>
      </c>
      <c r="D687" s="9">
        <v>45868</v>
      </c>
      <c r="E687" t="s">
        <v>28</v>
      </c>
      <c r="F687" t="s">
        <v>435</v>
      </c>
      <c r="G687">
        <v>24</v>
      </c>
      <c r="H687">
        <v>137.76</v>
      </c>
      <c r="I687" t="s">
        <v>938</v>
      </c>
      <c r="K687" t="b">
        <f>IF(Table1[[#This Row],[dispatch_date]]-Table1[[#This Row],[order_date]] &gt;=0, TRUE, FALSE)</f>
        <v>1</v>
      </c>
    </row>
    <row r="688" spans="1:11" x14ac:dyDescent="0.2">
      <c r="A688" t="s">
        <v>1488</v>
      </c>
      <c r="B688" t="s">
        <v>1021</v>
      </c>
      <c r="C688" s="9">
        <v>45866</v>
      </c>
      <c r="D688" s="9">
        <v>45869</v>
      </c>
      <c r="E688" t="s">
        <v>22</v>
      </c>
      <c r="F688" t="s">
        <v>819</v>
      </c>
      <c r="G688">
        <v>12</v>
      </c>
      <c r="H688">
        <v>59.64</v>
      </c>
      <c r="I688" t="s">
        <v>916</v>
      </c>
      <c r="K688" t="b">
        <f>IF(Table1[[#This Row],[dispatch_date]]-Table1[[#This Row],[order_date]] &gt;=0, TRUE, FALSE)</f>
        <v>1</v>
      </c>
    </row>
    <row r="689" spans="1:11" x14ac:dyDescent="0.2">
      <c r="A689" t="s">
        <v>1901</v>
      </c>
      <c r="B689" t="s">
        <v>906</v>
      </c>
      <c r="C689" s="9">
        <v>45866</v>
      </c>
      <c r="D689" s="9">
        <v>45867</v>
      </c>
      <c r="E689" t="s">
        <v>8</v>
      </c>
      <c r="F689" t="s">
        <v>252</v>
      </c>
      <c r="G689">
        <v>72</v>
      </c>
      <c r="H689">
        <v>434.16</v>
      </c>
      <c r="I689" t="s">
        <v>938</v>
      </c>
      <c r="K689" t="b">
        <f>IF(Table1[[#This Row],[dispatch_date]]-Table1[[#This Row],[order_date]] &gt;=0, TRUE, FALSE)</f>
        <v>1</v>
      </c>
    </row>
    <row r="690" spans="1:11" x14ac:dyDescent="0.2">
      <c r="A690" t="s">
        <v>1268</v>
      </c>
      <c r="B690" t="s">
        <v>1052</v>
      </c>
      <c r="C690" s="9">
        <v>45867</v>
      </c>
      <c r="D690" s="9">
        <v>45868</v>
      </c>
      <c r="E690" t="s">
        <v>121</v>
      </c>
      <c r="G690">
        <v>12</v>
      </c>
      <c r="H690">
        <v>154.08000000000001</v>
      </c>
      <c r="I690" t="s">
        <v>956</v>
      </c>
      <c r="K690" t="b">
        <f>IF(Table1[[#This Row],[dispatch_date]]-Table1[[#This Row],[order_date]] &gt;=0, TRUE, FALSE)</f>
        <v>1</v>
      </c>
    </row>
    <row r="691" spans="1:11" x14ac:dyDescent="0.2">
      <c r="A691" t="s">
        <v>1673</v>
      </c>
      <c r="B691" t="s">
        <v>1045</v>
      </c>
      <c r="C691" s="9">
        <v>45867</v>
      </c>
      <c r="D691" s="9">
        <v>45870</v>
      </c>
      <c r="E691" t="s">
        <v>42</v>
      </c>
      <c r="F691" t="s">
        <v>835</v>
      </c>
      <c r="G691">
        <v>48</v>
      </c>
      <c r="H691">
        <v>149.11000000000001</v>
      </c>
      <c r="I691" t="s">
        <v>912</v>
      </c>
      <c r="K691" t="b">
        <f>IF(Table1[[#This Row],[dispatch_date]]-Table1[[#This Row],[order_date]] &gt;=0, TRUE, FALSE)</f>
        <v>1</v>
      </c>
    </row>
    <row r="692" spans="1:11" x14ac:dyDescent="0.2">
      <c r="A692" t="s">
        <v>1948</v>
      </c>
      <c r="B692" t="s">
        <v>1006</v>
      </c>
      <c r="C692" s="9">
        <v>45867</v>
      </c>
      <c r="D692" s="9">
        <v>45868</v>
      </c>
      <c r="E692" t="s">
        <v>105</v>
      </c>
      <c r="F692" t="s">
        <v>707</v>
      </c>
      <c r="G692">
        <v>48</v>
      </c>
      <c r="H692">
        <v>285.60000000000002</v>
      </c>
      <c r="I692" t="s">
        <v>912</v>
      </c>
      <c r="K692" t="b">
        <f>IF(Table1[[#This Row],[dispatch_date]]-Table1[[#This Row],[order_date]] &gt;=0, TRUE, FALSE)</f>
        <v>1</v>
      </c>
    </row>
    <row r="693" spans="1:11" x14ac:dyDescent="0.2">
      <c r="A693" t="s">
        <v>2132</v>
      </c>
      <c r="B693" t="s">
        <v>914</v>
      </c>
      <c r="C693" s="9">
        <v>45867</v>
      </c>
      <c r="D693" s="9">
        <v>45870</v>
      </c>
      <c r="E693" t="s">
        <v>121</v>
      </c>
      <c r="G693">
        <v>72</v>
      </c>
      <c r="H693">
        <v>924.48</v>
      </c>
      <c r="I693" t="s">
        <v>916</v>
      </c>
      <c r="K693" t="b">
        <f>IF(Table1[[#This Row],[dispatch_date]]-Table1[[#This Row],[order_date]] &gt;=0, TRUE, FALSE)</f>
        <v>1</v>
      </c>
    </row>
    <row r="694" spans="1:11" x14ac:dyDescent="0.2">
      <c r="A694" t="s">
        <v>2413</v>
      </c>
      <c r="B694" t="s">
        <v>993</v>
      </c>
      <c r="C694" s="9">
        <v>45867</v>
      </c>
      <c r="D694" s="9">
        <v>45870</v>
      </c>
      <c r="E694" t="s">
        <v>19</v>
      </c>
      <c r="F694" t="s">
        <v>488</v>
      </c>
      <c r="G694">
        <v>12</v>
      </c>
      <c r="H694">
        <v>24.36</v>
      </c>
      <c r="I694" t="s">
        <v>938</v>
      </c>
      <c r="J694" t="s">
        <v>3134</v>
      </c>
      <c r="K694" t="b">
        <f>IF(Table1[[#This Row],[dispatch_date]]-Table1[[#This Row],[order_date]] &gt;=0, TRUE, FALSE)</f>
        <v>1</v>
      </c>
    </row>
    <row r="695" spans="1:11" x14ac:dyDescent="0.2">
      <c r="A695" t="s">
        <v>1832</v>
      </c>
      <c r="B695" t="s">
        <v>1037</v>
      </c>
      <c r="C695" s="9">
        <v>45868</v>
      </c>
      <c r="D695" s="9">
        <v>45871</v>
      </c>
      <c r="E695" t="s">
        <v>52</v>
      </c>
      <c r="F695" t="s">
        <v>732</v>
      </c>
      <c r="G695">
        <v>24</v>
      </c>
      <c r="H695">
        <v>118.32</v>
      </c>
      <c r="I695" t="s">
        <v>938</v>
      </c>
      <c r="K695" t="b">
        <f>IF(Table1[[#This Row],[dispatch_date]]-Table1[[#This Row],[order_date]] &gt;=0, TRUE, FALSE)</f>
        <v>1</v>
      </c>
    </row>
    <row r="696" spans="1:11" x14ac:dyDescent="0.2">
      <c r="A696" t="s">
        <v>1943</v>
      </c>
      <c r="B696" t="s">
        <v>979</v>
      </c>
      <c r="C696" s="9">
        <v>45868</v>
      </c>
      <c r="D696" s="9">
        <v>45868</v>
      </c>
      <c r="E696" t="s">
        <v>86</v>
      </c>
      <c r="F696" t="s">
        <v>766</v>
      </c>
      <c r="G696">
        <v>36</v>
      </c>
      <c r="H696">
        <v>114.84</v>
      </c>
      <c r="I696" t="s">
        <v>927</v>
      </c>
      <c r="K696" t="b">
        <f>IF(Table1[[#This Row],[dispatch_date]]-Table1[[#This Row],[order_date]] &gt;=0, TRUE, FALSE)</f>
        <v>1</v>
      </c>
    </row>
    <row r="697" spans="1:11" x14ac:dyDescent="0.2">
      <c r="A697" t="s">
        <v>2149</v>
      </c>
      <c r="B697" t="s">
        <v>1011</v>
      </c>
      <c r="C697" s="9">
        <v>45869</v>
      </c>
      <c r="D697" s="9">
        <v>45869</v>
      </c>
      <c r="E697" t="s">
        <v>65</v>
      </c>
      <c r="F697" t="s">
        <v>807</v>
      </c>
      <c r="G697">
        <v>36</v>
      </c>
      <c r="H697">
        <v>453.83</v>
      </c>
      <c r="I697" t="s">
        <v>916</v>
      </c>
      <c r="K697" t="b">
        <f>IF(Table1[[#This Row],[dispatch_date]]-Table1[[#This Row],[order_date]] &gt;=0, TRUE, FALSE)</f>
        <v>1</v>
      </c>
    </row>
    <row r="698" spans="1:11" x14ac:dyDescent="0.2">
      <c r="A698" t="s">
        <v>1108</v>
      </c>
      <c r="B698" t="s">
        <v>1052</v>
      </c>
      <c r="C698" s="9">
        <v>45871</v>
      </c>
      <c r="D698" s="9">
        <v>45872</v>
      </c>
      <c r="E698" t="s">
        <v>108</v>
      </c>
      <c r="F698" t="s">
        <v>564</v>
      </c>
      <c r="G698">
        <v>6</v>
      </c>
      <c r="H698">
        <v>42.84</v>
      </c>
      <c r="I698" t="s">
        <v>956</v>
      </c>
      <c r="K698" t="b">
        <f>IF(Table1[[#This Row],[dispatch_date]]-Table1[[#This Row],[order_date]] &gt;=0, TRUE, FALSE)</f>
        <v>1</v>
      </c>
    </row>
    <row r="699" spans="1:11" x14ac:dyDescent="0.2">
      <c r="A699" t="s">
        <v>1614</v>
      </c>
      <c r="B699" t="s">
        <v>942</v>
      </c>
      <c r="C699" s="9">
        <v>45871</v>
      </c>
      <c r="D699" s="9">
        <v>45871</v>
      </c>
      <c r="E699" t="s">
        <v>54</v>
      </c>
      <c r="G699">
        <v>12</v>
      </c>
      <c r="H699">
        <v>50.5</v>
      </c>
      <c r="I699" t="s">
        <v>916</v>
      </c>
      <c r="K699" t="b">
        <f>IF(Table1[[#This Row],[dispatch_date]]-Table1[[#This Row],[order_date]] &gt;=0, TRUE, FALSE)</f>
        <v>1</v>
      </c>
    </row>
    <row r="700" spans="1:11" x14ac:dyDescent="0.2">
      <c r="A700" t="s">
        <v>2113</v>
      </c>
      <c r="B700" t="s">
        <v>1056</v>
      </c>
      <c r="C700" s="9">
        <v>45871</v>
      </c>
      <c r="D700" s="9">
        <v>45872</v>
      </c>
      <c r="E700" t="s">
        <v>38</v>
      </c>
      <c r="G700">
        <v>72</v>
      </c>
      <c r="H700">
        <v>367.2</v>
      </c>
      <c r="I700" t="s">
        <v>912</v>
      </c>
      <c r="K700" t="b">
        <f>IF(Table1[[#This Row],[dispatch_date]]-Table1[[#This Row],[order_date]] &gt;=0, TRUE, FALSE)</f>
        <v>1</v>
      </c>
    </row>
    <row r="701" spans="1:11" x14ac:dyDescent="0.2">
      <c r="A701" t="s">
        <v>2164</v>
      </c>
      <c r="B701" t="s">
        <v>1040</v>
      </c>
      <c r="C701" s="9">
        <v>45871</v>
      </c>
      <c r="D701" s="9">
        <v>45873</v>
      </c>
      <c r="E701" t="s">
        <v>93</v>
      </c>
      <c r="F701" t="s">
        <v>849</v>
      </c>
      <c r="G701">
        <v>36</v>
      </c>
      <c r="H701">
        <v>100.44</v>
      </c>
      <c r="I701" t="s">
        <v>916</v>
      </c>
      <c r="J701" t="s">
        <v>3134</v>
      </c>
      <c r="K701" t="b">
        <f>IF(Table1[[#This Row],[dispatch_date]]-Table1[[#This Row],[order_date]] &gt;=0, TRUE, FALSE)</f>
        <v>1</v>
      </c>
    </row>
    <row r="702" spans="1:11" x14ac:dyDescent="0.2">
      <c r="A702" t="s">
        <v>2427</v>
      </c>
      <c r="B702" t="s">
        <v>922</v>
      </c>
      <c r="C702" s="9">
        <v>45871</v>
      </c>
      <c r="D702" s="9">
        <v>45873</v>
      </c>
      <c r="E702" t="s">
        <v>84</v>
      </c>
      <c r="F702" t="s">
        <v>555</v>
      </c>
      <c r="G702">
        <v>48</v>
      </c>
      <c r="H702">
        <v>107.04</v>
      </c>
      <c r="I702" t="s">
        <v>912</v>
      </c>
      <c r="K702" t="b">
        <f>IF(Table1[[#This Row],[dispatch_date]]-Table1[[#This Row],[order_date]] &gt;=0, TRUE, FALSE)</f>
        <v>1</v>
      </c>
    </row>
    <row r="703" spans="1:11" x14ac:dyDescent="0.2">
      <c r="A703" t="s">
        <v>1631</v>
      </c>
      <c r="B703" t="s">
        <v>1059</v>
      </c>
      <c r="C703" s="9">
        <v>45872</v>
      </c>
      <c r="D703" s="9">
        <v>45872</v>
      </c>
      <c r="E703" t="s">
        <v>25</v>
      </c>
      <c r="F703" t="s">
        <v>794</v>
      </c>
      <c r="G703">
        <v>72</v>
      </c>
      <c r="H703">
        <v>399.6</v>
      </c>
      <c r="I703" t="s">
        <v>916</v>
      </c>
      <c r="K703" t="b">
        <f>IF(Table1[[#This Row],[dispatch_date]]-Table1[[#This Row],[order_date]] &gt;=0, TRUE, FALSE)</f>
        <v>1</v>
      </c>
    </row>
    <row r="704" spans="1:11" x14ac:dyDescent="0.2">
      <c r="A704" t="s">
        <v>1707</v>
      </c>
      <c r="B704" t="s">
        <v>983</v>
      </c>
      <c r="C704" s="9">
        <v>45872</v>
      </c>
      <c r="D704" s="9">
        <v>45873</v>
      </c>
      <c r="E704" t="s">
        <v>50</v>
      </c>
      <c r="F704" t="s">
        <v>389</v>
      </c>
      <c r="G704">
        <v>72</v>
      </c>
      <c r="H704">
        <v>417.24</v>
      </c>
      <c r="I704" t="s">
        <v>916</v>
      </c>
      <c r="K704" t="b">
        <f>IF(Table1[[#This Row],[dispatch_date]]-Table1[[#This Row],[order_date]] &gt;=0, TRUE, FALSE)</f>
        <v>1</v>
      </c>
    </row>
    <row r="705" spans="1:11" x14ac:dyDescent="0.2">
      <c r="A705" t="s">
        <v>1487</v>
      </c>
      <c r="B705" t="s">
        <v>1049</v>
      </c>
      <c r="C705" s="9">
        <v>45873</v>
      </c>
      <c r="D705" s="9">
        <v>45873</v>
      </c>
      <c r="E705" t="s">
        <v>38</v>
      </c>
      <c r="F705" t="s">
        <v>889</v>
      </c>
      <c r="G705">
        <v>36</v>
      </c>
      <c r="H705">
        <v>183.6</v>
      </c>
      <c r="I705" t="s">
        <v>938</v>
      </c>
      <c r="K705" t="b">
        <f>IF(Table1[[#This Row],[dispatch_date]]-Table1[[#This Row],[order_date]] &gt;=0, TRUE, FALSE)</f>
        <v>1</v>
      </c>
    </row>
    <row r="706" spans="1:11" x14ac:dyDescent="0.2">
      <c r="A706" t="s">
        <v>2184</v>
      </c>
      <c r="B706" t="s">
        <v>1034</v>
      </c>
      <c r="C706" s="9">
        <v>45873</v>
      </c>
      <c r="D706" s="9">
        <v>45874</v>
      </c>
      <c r="E706" t="s">
        <v>110</v>
      </c>
      <c r="F706" t="s">
        <v>476</v>
      </c>
      <c r="G706">
        <v>48</v>
      </c>
      <c r="H706">
        <v>156.96</v>
      </c>
      <c r="I706" t="s">
        <v>938</v>
      </c>
      <c r="K706" t="b">
        <f>IF(Table1[[#This Row],[dispatch_date]]-Table1[[#This Row],[order_date]] &gt;=0, TRUE, FALSE)</f>
        <v>1</v>
      </c>
    </row>
    <row r="707" spans="1:11" x14ac:dyDescent="0.2">
      <c r="A707" t="s">
        <v>2365</v>
      </c>
      <c r="B707" t="s">
        <v>1027</v>
      </c>
      <c r="C707" s="9">
        <v>45873</v>
      </c>
      <c r="D707" s="9">
        <v>45874</v>
      </c>
      <c r="E707" t="s">
        <v>129</v>
      </c>
      <c r="F707" t="s">
        <v>725</v>
      </c>
      <c r="G707">
        <v>72</v>
      </c>
      <c r="H707">
        <v>342</v>
      </c>
      <c r="I707" t="s">
        <v>916</v>
      </c>
      <c r="K707" t="b">
        <f>IF(Table1[[#This Row],[dispatch_date]]-Table1[[#This Row],[order_date]] &gt;=0, TRUE, FALSE)</f>
        <v>1</v>
      </c>
    </row>
    <row r="708" spans="1:11" x14ac:dyDescent="0.2">
      <c r="A708" t="s">
        <v>2731</v>
      </c>
      <c r="B708" t="s">
        <v>1060</v>
      </c>
      <c r="C708" s="9">
        <v>45873</v>
      </c>
      <c r="D708" s="9">
        <v>45876</v>
      </c>
      <c r="E708" t="s">
        <v>44</v>
      </c>
      <c r="F708" t="s">
        <v>511</v>
      </c>
      <c r="G708">
        <v>24</v>
      </c>
      <c r="H708">
        <v>145.19999999999999</v>
      </c>
      <c r="I708" t="s">
        <v>956</v>
      </c>
      <c r="J708" t="s">
        <v>3134</v>
      </c>
      <c r="K708" t="b">
        <f>IF(Table1[[#This Row],[dispatch_date]]-Table1[[#This Row],[order_date]] &gt;=0, TRUE, FALSE)</f>
        <v>1</v>
      </c>
    </row>
    <row r="709" spans="1:11" x14ac:dyDescent="0.2">
      <c r="A709" t="s">
        <v>2740</v>
      </c>
      <c r="B709" t="s">
        <v>1080</v>
      </c>
      <c r="C709" s="9">
        <v>45873</v>
      </c>
      <c r="D709" s="9">
        <v>45873</v>
      </c>
      <c r="E709" t="s">
        <v>22</v>
      </c>
      <c r="F709" t="s">
        <v>546</v>
      </c>
      <c r="G709">
        <v>72</v>
      </c>
      <c r="H709">
        <v>339.95</v>
      </c>
      <c r="I709" t="s">
        <v>912</v>
      </c>
      <c r="K709" t="b">
        <f>IF(Table1[[#This Row],[dispatch_date]]-Table1[[#This Row],[order_date]] &gt;=0, TRUE, FALSE)</f>
        <v>1</v>
      </c>
    </row>
    <row r="710" spans="1:11" x14ac:dyDescent="0.2">
      <c r="A710" t="s">
        <v>1856</v>
      </c>
      <c r="B710" t="s">
        <v>1037</v>
      </c>
      <c r="C710" s="9">
        <v>45874</v>
      </c>
      <c r="D710" s="9">
        <v>45876</v>
      </c>
      <c r="E710" t="s">
        <v>105</v>
      </c>
      <c r="F710" t="s">
        <v>559</v>
      </c>
      <c r="G710">
        <v>24</v>
      </c>
      <c r="H710">
        <v>142.80000000000001</v>
      </c>
      <c r="I710" t="s">
        <v>938</v>
      </c>
      <c r="K710" t="b">
        <f>IF(Table1[[#This Row],[dispatch_date]]-Table1[[#This Row],[order_date]] &gt;=0, TRUE, FALSE)</f>
        <v>1</v>
      </c>
    </row>
    <row r="711" spans="1:11" x14ac:dyDescent="0.2">
      <c r="A711" t="s">
        <v>2607</v>
      </c>
      <c r="B711" t="s">
        <v>1011</v>
      </c>
      <c r="C711" s="9">
        <v>45874</v>
      </c>
      <c r="D711" s="9">
        <v>45874</v>
      </c>
      <c r="E711" t="s">
        <v>103</v>
      </c>
      <c r="F711" t="s">
        <v>583</v>
      </c>
      <c r="G711">
        <v>6</v>
      </c>
      <c r="H711">
        <v>43.26</v>
      </c>
      <c r="I711" t="s">
        <v>916</v>
      </c>
      <c r="K711" t="b">
        <f>IF(Table1[[#This Row],[dispatch_date]]-Table1[[#This Row],[order_date]] &gt;=0, TRUE, FALSE)</f>
        <v>1</v>
      </c>
    </row>
    <row r="712" spans="1:11" x14ac:dyDescent="0.2">
      <c r="A712" t="s">
        <v>2370</v>
      </c>
      <c r="B712" t="s">
        <v>1049</v>
      </c>
      <c r="C712" s="9">
        <v>45875</v>
      </c>
      <c r="D712" s="9">
        <v>45876</v>
      </c>
      <c r="E712" t="s">
        <v>69</v>
      </c>
      <c r="F712" t="s">
        <v>837</v>
      </c>
      <c r="G712">
        <v>6</v>
      </c>
      <c r="H712">
        <v>32.04</v>
      </c>
      <c r="I712" t="s">
        <v>927</v>
      </c>
      <c r="K712" t="b">
        <f>IF(Table1[[#This Row],[dispatch_date]]-Table1[[#This Row],[order_date]] &gt;=0, TRUE, FALSE)</f>
        <v>1</v>
      </c>
    </row>
    <row r="713" spans="1:11" x14ac:dyDescent="0.2">
      <c r="A713" t="s">
        <v>2639</v>
      </c>
      <c r="B713" t="s">
        <v>960</v>
      </c>
      <c r="C713" s="9">
        <v>45875</v>
      </c>
      <c r="D713" s="9">
        <v>45877</v>
      </c>
      <c r="E713" t="s">
        <v>54</v>
      </c>
      <c r="F713" t="s">
        <v>408</v>
      </c>
      <c r="G713">
        <v>48</v>
      </c>
      <c r="H713">
        <v>212.64</v>
      </c>
      <c r="I713" t="s">
        <v>938</v>
      </c>
      <c r="K713" t="b">
        <f>IF(Table1[[#This Row],[dispatch_date]]-Table1[[#This Row],[order_date]] &gt;=0, TRUE, FALSE)</f>
        <v>1</v>
      </c>
    </row>
    <row r="714" spans="1:11" x14ac:dyDescent="0.2">
      <c r="A714" t="s">
        <v>2797</v>
      </c>
      <c r="B714" t="s">
        <v>945</v>
      </c>
      <c r="C714" s="9">
        <v>45875</v>
      </c>
      <c r="D714" s="9">
        <v>45878</v>
      </c>
      <c r="E714" t="s">
        <v>25</v>
      </c>
      <c r="F714" t="s">
        <v>643</v>
      </c>
      <c r="G714">
        <v>6</v>
      </c>
      <c r="H714">
        <v>33.299999999999997</v>
      </c>
      <c r="I714" t="s">
        <v>938</v>
      </c>
      <c r="K714" t="b">
        <f>IF(Table1[[#This Row],[dispatch_date]]-Table1[[#This Row],[order_date]] &gt;=0, TRUE, FALSE)</f>
        <v>1</v>
      </c>
    </row>
    <row r="715" spans="1:11" x14ac:dyDescent="0.2">
      <c r="A715" t="s">
        <v>2835</v>
      </c>
      <c r="B715" t="s">
        <v>948</v>
      </c>
      <c r="C715" s="9">
        <v>45875</v>
      </c>
      <c r="D715" s="9">
        <v>45875</v>
      </c>
      <c r="E715" t="s">
        <v>67</v>
      </c>
      <c r="G715">
        <v>6</v>
      </c>
      <c r="H715">
        <v>31.8</v>
      </c>
      <c r="I715" t="s">
        <v>938</v>
      </c>
      <c r="K715" t="b">
        <f>IF(Table1[[#This Row],[dispatch_date]]-Table1[[#This Row],[order_date]] &gt;=0, TRUE, FALSE)</f>
        <v>1</v>
      </c>
    </row>
    <row r="716" spans="1:11" x14ac:dyDescent="0.2">
      <c r="A716" t="s">
        <v>1142</v>
      </c>
      <c r="B716" t="s">
        <v>1040</v>
      </c>
      <c r="C716" s="9">
        <v>45876</v>
      </c>
      <c r="D716" s="9">
        <v>45879</v>
      </c>
      <c r="E716" t="s">
        <v>90</v>
      </c>
      <c r="F716" t="s">
        <v>759</v>
      </c>
      <c r="G716">
        <v>24</v>
      </c>
      <c r="H716">
        <v>191.52</v>
      </c>
      <c r="I716" t="s">
        <v>916</v>
      </c>
      <c r="K716" t="b">
        <f>IF(Table1[[#This Row],[dispatch_date]]-Table1[[#This Row],[order_date]] &gt;=0, TRUE, FALSE)</f>
        <v>1</v>
      </c>
    </row>
    <row r="717" spans="1:11" x14ac:dyDescent="0.2">
      <c r="A717" t="s">
        <v>1340</v>
      </c>
      <c r="B717" t="s">
        <v>1004</v>
      </c>
      <c r="C717" s="9">
        <v>45876</v>
      </c>
      <c r="D717" s="9">
        <v>45879</v>
      </c>
      <c r="E717" t="s">
        <v>56</v>
      </c>
      <c r="F717" t="s">
        <v>606</v>
      </c>
      <c r="G717">
        <v>6</v>
      </c>
      <c r="H717">
        <v>35.28</v>
      </c>
      <c r="I717" t="s">
        <v>927</v>
      </c>
      <c r="K717" t="b">
        <f>IF(Table1[[#This Row],[dispatch_date]]-Table1[[#This Row],[order_date]] &gt;=0, TRUE, FALSE)</f>
        <v>1</v>
      </c>
    </row>
    <row r="718" spans="1:11" x14ac:dyDescent="0.2">
      <c r="A718" t="s">
        <v>1525</v>
      </c>
      <c r="B718" t="s">
        <v>922</v>
      </c>
      <c r="C718" s="9">
        <v>45876</v>
      </c>
      <c r="D718" s="9">
        <v>45876</v>
      </c>
      <c r="E718" t="s">
        <v>14</v>
      </c>
      <c r="F718" t="s">
        <v>375</v>
      </c>
      <c r="G718">
        <v>24</v>
      </c>
      <c r="H718">
        <v>87.6</v>
      </c>
      <c r="I718" t="s">
        <v>912</v>
      </c>
      <c r="K718" t="b">
        <f>IF(Table1[[#This Row],[dispatch_date]]-Table1[[#This Row],[order_date]] &gt;=0, TRUE, FALSE)</f>
        <v>1</v>
      </c>
    </row>
    <row r="719" spans="1:11" x14ac:dyDescent="0.2">
      <c r="A719" t="s">
        <v>2054</v>
      </c>
      <c r="B719" t="s">
        <v>958</v>
      </c>
      <c r="C719" s="9">
        <v>45876</v>
      </c>
      <c r="D719" s="9">
        <v>45878</v>
      </c>
      <c r="E719" t="s">
        <v>110</v>
      </c>
      <c r="F719" t="s">
        <v>668</v>
      </c>
      <c r="G719">
        <v>24</v>
      </c>
      <c r="H719">
        <v>78.48</v>
      </c>
      <c r="I719" t="s">
        <v>912</v>
      </c>
      <c r="K719" t="b">
        <f>IF(Table1[[#This Row],[dispatch_date]]-Table1[[#This Row],[order_date]] &gt;=0, TRUE, FALSE)</f>
        <v>1</v>
      </c>
    </row>
    <row r="720" spans="1:11" x14ac:dyDescent="0.2">
      <c r="A720" t="s">
        <v>2405</v>
      </c>
      <c r="B720" t="s">
        <v>1046</v>
      </c>
      <c r="C720" s="9">
        <v>45876</v>
      </c>
      <c r="D720" s="9">
        <v>45878</v>
      </c>
      <c r="E720" t="s">
        <v>40</v>
      </c>
      <c r="F720" t="s">
        <v>549</v>
      </c>
      <c r="G720">
        <v>24</v>
      </c>
      <c r="H720">
        <v>93.36</v>
      </c>
      <c r="I720" t="s">
        <v>912</v>
      </c>
      <c r="K720" t="b">
        <f>IF(Table1[[#This Row],[dispatch_date]]-Table1[[#This Row],[order_date]] &gt;=0, TRUE, FALSE)</f>
        <v>1</v>
      </c>
    </row>
    <row r="721" spans="1:11" x14ac:dyDescent="0.2">
      <c r="A721" t="s">
        <v>2837</v>
      </c>
      <c r="B721" t="s">
        <v>910</v>
      </c>
      <c r="C721" s="9">
        <v>45877</v>
      </c>
      <c r="D721" s="9">
        <v>45877</v>
      </c>
      <c r="E721" t="s">
        <v>93</v>
      </c>
      <c r="F721" t="s">
        <v>849</v>
      </c>
      <c r="G721">
        <v>48</v>
      </c>
      <c r="H721">
        <v>133.91999999999999</v>
      </c>
      <c r="I721" t="s">
        <v>912</v>
      </c>
      <c r="K721" t="b">
        <f>IF(Table1[[#This Row],[dispatch_date]]-Table1[[#This Row],[order_date]] &gt;=0, TRUE, FALSE)</f>
        <v>1</v>
      </c>
    </row>
    <row r="722" spans="1:11" x14ac:dyDescent="0.2">
      <c r="A722" t="s">
        <v>1262</v>
      </c>
      <c r="B722" t="s">
        <v>991</v>
      </c>
      <c r="C722" s="9">
        <v>45878</v>
      </c>
      <c r="D722" s="9">
        <v>45879</v>
      </c>
      <c r="E722" t="s">
        <v>22</v>
      </c>
      <c r="F722" t="s">
        <v>238</v>
      </c>
      <c r="G722">
        <v>24</v>
      </c>
      <c r="H722">
        <v>119.28</v>
      </c>
      <c r="I722" t="s">
        <v>956</v>
      </c>
      <c r="K722" t="b">
        <f>IF(Table1[[#This Row],[dispatch_date]]-Table1[[#This Row],[order_date]] &gt;=0, TRUE, FALSE)</f>
        <v>1</v>
      </c>
    </row>
    <row r="723" spans="1:11" x14ac:dyDescent="0.2">
      <c r="A723" t="s">
        <v>1611</v>
      </c>
      <c r="B723" t="s">
        <v>952</v>
      </c>
      <c r="C723" s="9">
        <v>45878</v>
      </c>
      <c r="D723" s="9">
        <v>45880</v>
      </c>
      <c r="E723" t="s">
        <v>121</v>
      </c>
      <c r="F723" t="s">
        <v>498</v>
      </c>
      <c r="G723">
        <v>24</v>
      </c>
      <c r="H723">
        <v>308.16000000000003</v>
      </c>
      <c r="I723" t="s">
        <v>938</v>
      </c>
      <c r="K723" t="b">
        <f>IF(Table1[[#This Row],[dispatch_date]]-Table1[[#This Row],[order_date]] &gt;=0, TRUE, FALSE)</f>
        <v>1</v>
      </c>
    </row>
    <row r="724" spans="1:11" x14ac:dyDescent="0.2">
      <c r="A724" t="s">
        <v>2040</v>
      </c>
      <c r="B724" t="s">
        <v>960</v>
      </c>
      <c r="C724" s="9">
        <v>45878</v>
      </c>
      <c r="D724" s="9">
        <v>45878</v>
      </c>
      <c r="E724" t="s">
        <v>65</v>
      </c>
      <c r="G724">
        <v>6</v>
      </c>
      <c r="H724">
        <v>79.62</v>
      </c>
      <c r="I724" t="s">
        <v>938</v>
      </c>
      <c r="K724" t="b">
        <f>IF(Table1[[#This Row],[dispatch_date]]-Table1[[#This Row],[order_date]] &gt;=0, TRUE, FALSE)</f>
        <v>1</v>
      </c>
    </row>
    <row r="725" spans="1:11" x14ac:dyDescent="0.2">
      <c r="A725" t="s">
        <v>2234</v>
      </c>
      <c r="B725" t="s">
        <v>1060</v>
      </c>
      <c r="C725" s="9">
        <v>45878</v>
      </c>
      <c r="D725" s="9">
        <v>45878</v>
      </c>
      <c r="E725" t="s">
        <v>95</v>
      </c>
      <c r="F725" t="s">
        <v>321</v>
      </c>
      <c r="G725">
        <v>24</v>
      </c>
      <c r="H725">
        <v>89.83</v>
      </c>
      <c r="I725" t="s">
        <v>956</v>
      </c>
      <c r="K725" t="b">
        <f>IF(Table1[[#This Row],[dispatch_date]]-Table1[[#This Row],[order_date]] &gt;=0, TRUE, FALSE)</f>
        <v>1</v>
      </c>
    </row>
    <row r="726" spans="1:11" x14ac:dyDescent="0.2">
      <c r="A726" t="s">
        <v>2269</v>
      </c>
      <c r="B726" t="s">
        <v>1029</v>
      </c>
      <c r="C726" s="9">
        <v>45878</v>
      </c>
      <c r="D726" s="9"/>
      <c r="E726" t="s">
        <v>22</v>
      </c>
      <c r="G726">
        <v>36</v>
      </c>
      <c r="H726">
        <v>169.97</v>
      </c>
      <c r="I726" t="s">
        <v>927</v>
      </c>
      <c r="K726" t="b">
        <f>IF(Table1[[#This Row],[dispatch_date]]-Table1[[#This Row],[order_date]] &gt;=0, TRUE, FALSE)</f>
        <v>0</v>
      </c>
    </row>
    <row r="727" spans="1:11" x14ac:dyDescent="0.2">
      <c r="A727" t="s">
        <v>2379</v>
      </c>
      <c r="B727" t="s">
        <v>1018</v>
      </c>
      <c r="C727" s="9">
        <v>45878</v>
      </c>
      <c r="D727" s="9">
        <v>45881</v>
      </c>
      <c r="E727" t="s">
        <v>80</v>
      </c>
      <c r="F727" t="s">
        <v>352</v>
      </c>
      <c r="G727">
        <v>36</v>
      </c>
      <c r="H727">
        <v>214.2</v>
      </c>
      <c r="I727" t="s">
        <v>916</v>
      </c>
      <c r="K727" t="b">
        <f>IF(Table1[[#This Row],[dispatch_date]]-Table1[[#This Row],[order_date]] &gt;=0, TRUE, FALSE)</f>
        <v>1</v>
      </c>
    </row>
    <row r="728" spans="1:11" x14ac:dyDescent="0.2">
      <c r="A728" t="s">
        <v>1732</v>
      </c>
      <c r="B728" t="s">
        <v>1021</v>
      </c>
      <c r="C728" s="9">
        <v>45879</v>
      </c>
      <c r="D728" s="9">
        <v>45879</v>
      </c>
      <c r="E728" t="s">
        <v>54</v>
      </c>
      <c r="F728" t="s">
        <v>241</v>
      </c>
      <c r="G728">
        <v>24</v>
      </c>
      <c r="H728">
        <v>106.32</v>
      </c>
      <c r="I728" t="s">
        <v>916</v>
      </c>
      <c r="K728" t="b">
        <f>IF(Table1[[#This Row],[dispatch_date]]-Table1[[#This Row],[order_date]] &gt;=0, TRUE, FALSE)</f>
        <v>1</v>
      </c>
    </row>
    <row r="729" spans="1:11" x14ac:dyDescent="0.2">
      <c r="A729" t="s">
        <v>1791</v>
      </c>
      <c r="B729" t="s">
        <v>1046</v>
      </c>
      <c r="C729" s="9">
        <v>45880</v>
      </c>
      <c r="D729" s="9">
        <v>45882</v>
      </c>
      <c r="E729" t="s">
        <v>90</v>
      </c>
      <c r="F729" t="s">
        <v>727</v>
      </c>
      <c r="G729">
        <v>6</v>
      </c>
      <c r="H729">
        <v>50.4</v>
      </c>
      <c r="I729" t="s">
        <v>912</v>
      </c>
      <c r="K729" t="b">
        <f>IF(Table1[[#This Row],[dispatch_date]]-Table1[[#This Row],[order_date]] &gt;=0, TRUE, FALSE)</f>
        <v>1</v>
      </c>
    </row>
    <row r="730" spans="1:11" x14ac:dyDescent="0.2">
      <c r="A730" t="s">
        <v>1970</v>
      </c>
      <c r="B730" t="s">
        <v>983</v>
      </c>
      <c r="C730" s="9">
        <v>45880</v>
      </c>
      <c r="D730" s="9">
        <v>45883</v>
      </c>
      <c r="E730" t="s">
        <v>84</v>
      </c>
      <c r="F730" t="s">
        <v>316</v>
      </c>
      <c r="G730">
        <v>72</v>
      </c>
      <c r="H730">
        <v>160.56</v>
      </c>
      <c r="I730" t="s">
        <v>916</v>
      </c>
      <c r="K730" t="b">
        <f>IF(Table1[[#This Row],[dispatch_date]]-Table1[[#This Row],[order_date]] &gt;=0, TRUE, FALSE)</f>
        <v>1</v>
      </c>
    </row>
    <row r="731" spans="1:11" x14ac:dyDescent="0.2">
      <c r="A731" t="s">
        <v>1471</v>
      </c>
      <c r="B731" t="s">
        <v>1046</v>
      </c>
      <c r="C731" s="9">
        <v>45881</v>
      </c>
      <c r="D731" s="9">
        <v>45883</v>
      </c>
      <c r="E731" t="s">
        <v>33</v>
      </c>
      <c r="F731" t="s">
        <v>461</v>
      </c>
      <c r="G731">
        <v>24</v>
      </c>
      <c r="H731">
        <v>53.04</v>
      </c>
      <c r="I731" t="s">
        <v>912</v>
      </c>
      <c r="K731" t="b">
        <f>IF(Table1[[#This Row],[dispatch_date]]-Table1[[#This Row],[order_date]] &gt;=0, TRUE, FALSE)</f>
        <v>1</v>
      </c>
    </row>
    <row r="732" spans="1:11" x14ac:dyDescent="0.2">
      <c r="A732" t="s">
        <v>1719</v>
      </c>
      <c r="B732" t="s">
        <v>1034</v>
      </c>
      <c r="C732" s="9">
        <v>45881</v>
      </c>
      <c r="D732" s="9">
        <v>45884</v>
      </c>
      <c r="E732" t="s">
        <v>58</v>
      </c>
      <c r="F732" t="s">
        <v>235</v>
      </c>
      <c r="G732">
        <v>24</v>
      </c>
      <c r="H732">
        <v>151.19999999999999</v>
      </c>
      <c r="I732" t="s">
        <v>938</v>
      </c>
      <c r="K732" t="b">
        <f>IF(Table1[[#This Row],[dispatch_date]]-Table1[[#This Row],[order_date]] &gt;=0, TRUE, FALSE)</f>
        <v>1</v>
      </c>
    </row>
    <row r="733" spans="1:11" x14ac:dyDescent="0.2">
      <c r="A733" t="s">
        <v>1966</v>
      </c>
      <c r="B733" t="s">
        <v>954</v>
      </c>
      <c r="C733" s="9">
        <v>45881</v>
      </c>
      <c r="D733" s="9">
        <v>45882</v>
      </c>
      <c r="E733" t="s">
        <v>22</v>
      </c>
      <c r="F733" t="s">
        <v>734</v>
      </c>
      <c r="G733">
        <v>72</v>
      </c>
      <c r="H733">
        <v>357.84</v>
      </c>
      <c r="I733" t="s">
        <v>956</v>
      </c>
      <c r="K733" t="b">
        <f>IF(Table1[[#This Row],[dispatch_date]]-Table1[[#This Row],[order_date]] &gt;=0, TRUE, FALSE)</f>
        <v>1</v>
      </c>
    </row>
    <row r="734" spans="1:11" x14ac:dyDescent="0.2">
      <c r="A734" t="s">
        <v>1997</v>
      </c>
      <c r="B734" t="s">
        <v>1009</v>
      </c>
      <c r="C734" s="9">
        <v>45881</v>
      </c>
      <c r="D734" s="9">
        <v>45884</v>
      </c>
      <c r="E734" t="s">
        <v>88</v>
      </c>
      <c r="G734">
        <v>12</v>
      </c>
      <c r="H734">
        <v>49.56</v>
      </c>
      <c r="I734" t="s">
        <v>912</v>
      </c>
      <c r="K734" t="b">
        <f>IF(Table1[[#This Row],[dispatch_date]]-Table1[[#This Row],[order_date]] &gt;=0, TRUE, FALSE)</f>
        <v>1</v>
      </c>
    </row>
    <row r="735" spans="1:11" x14ac:dyDescent="0.2">
      <c r="A735" t="s">
        <v>2119</v>
      </c>
      <c r="B735" t="s">
        <v>1018</v>
      </c>
      <c r="C735" s="9">
        <v>45881</v>
      </c>
      <c r="D735" s="9">
        <v>45883</v>
      </c>
      <c r="E735" t="s">
        <v>108</v>
      </c>
      <c r="F735" t="s">
        <v>797</v>
      </c>
      <c r="G735">
        <v>12</v>
      </c>
      <c r="H735">
        <v>85.68</v>
      </c>
      <c r="I735" t="s">
        <v>916</v>
      </c>
      <c r="K735" t="b">
        <f>IF(Table1[[#This Row],[dispatch_date]]-Table1[[#This Row],[order_date]] &gt;=0, TRUE, FALSE)</f>
        <v>1</v>
      </c>
    </row>
    <row r="736" spans="1:11" x14ac:dyDescent="0.2">
      <c r="A736" t="s">
        <v>2375</v>
      </c>
      <c r="B736" t="s">
        <v>958</v>
      </c>
      <c r="C736" s="9">
        <v>45881</v>
      </c>
      <c r="D736" s="9">
        <v>45881</v>
      </c>
      <c r="E736" t="s">
        <v>58</v>
      </c>
      <c r="F736" t="s">
        <v>486</v>
      </c>
      <c r="G736">
        <v>24</v>
      </c>
      <c r="H736">
        <v>151.19999999999999</v>
      </c>
      <c r="I736" t="s">
        <v>956</v>
      </c>
      <c r="K736" t="b">
        <f>IF(Table1[[#This Row],[dispatch_date]]-Table1[[#This Row],[order_date]] &gt;=0, TRUE, FALSE)</f>
        <v>1</v>
      </c>
    </row>
    <row r="737" spans="1:11" x14ac:dyDescent="0.2">
      <c r="A737" t="s">
        <v>2417</v>
      </c>
      <c r="B737" t="s">
        <v>1016</v>
      </c>
      <c r="C737" s="9">
        <v>45881</v>
      </c>
      <c r="D737" s="9"/>
      <c r="E737" t="s">
        <v>28</v>
      </c>
      <c r="G737">
        <v>72</v>
      </c>
      <c r="H737">
        <v>392.62</v>
      </c>
      <c r="I737" t="s">
        <v>1079</v>
      </c>
      <c r="K737" t="b">
        <f>IF(Table1[[#This Row],[dispatch_date]]-Table1[[#This Row],[order_date]] &gt;=0, TRUE, FALSE)</f>
        <v>0</v>
      </c>
    </row>
    <row r="738" spans="1:11" x14ac:dyDescent="0.2">
      <c r="A738" t="s">
        <v>2720</v>
      </c>
      <c r="B738" t="s">
        <v>1045</v>
      </c>
      <c r="C738" s="9">
        <v>45881</v>
      </c>
      <c r="D738" s="9">
        <v>45881</v>
      </c>
      <c r="E738" t="s">
        <v>28</v>
      </c>
      <c r="F738" t="s">
        <v>514</v>
      </c>
      <c r="G738">
        <v>12</v>
      </c>
      <c r="H738">
        <v>65.44</v>
      </c>
      <c r="I738" t="s">
        <v>912</v>
      </c>
      <c r="K738" t="b">
        <f>IF(Table1[[#This Row],[dispatch_date]]-Table1[[#This Row],[order_date]] &gt;=0, TRUE, FALSE)</f>
        <v>1</v>
      </c>
    </row>
    <row r="739" spans="1:11" x14ac:dyDescent="0.2">
      <c r="A739" t="s">
        <v>1575</v>
      </c>
      <c r="B739" t="s">
        <v>960</v>
      </c>
      <c r="C739" s="9">
        <v>45882</v>
      </c>
      <c r="D739" s="9">
        <v>45883</v>
      </c>
      <c r="E739" t="s">
        <v>8</v>
      </c>
      <c r="F739" t="s">
        <v>252</v>
      </c>
      <c r="G739">
        <v>24</v>
      </c>
      <c r="H739">
        <v>144.72</v>
      </c>
      <c r="I739" t="s">
        <v>938</v>
      </c>
      <c r="K739" t="b">
        <f>IF(Table1[[#This Row],[dispatch_date]]-Table1[[#This Row],[order_date]] &gt;=0, TRUE, FALSE)</f>
        <v>1</v>
      </c>
    </row>
    <row r="740" spans="1:11" x14ac:dyDescent="0.2">
      <c r="A740" t="s">
        <v>1697</v>
      </c>
      <c r="B740" t="s">
        <v>1067</v>
      </c>
      <c r="C740" s="9">
        <v>45882</v>
      </c>
      <c r="D740" s="9">
        <v>45883</v>
      </c>
      <c r="E740" t="s">
        <v>25</v>
      </c>
      <c r="F740" t="s">
        <v>643</v>
      </c>
      <c r="G740">
        <v>36</v>
      </c>
      <c r="H740">
        <v>199.8</v>
      </c>
      <c r="I740" t="s">
        <v>956</v>
      </c>
      <c r="K740" t="b">
        <f>IF(Table1[[#This Row],[dispatch_date]]-Table1[[#This Row],[order_date]] &gt;=0, TRUE, FALSE)</f>
        <v>1</v>
      </c>
    </row>
    <row r="741" spans="1:11" x14ac:dyDescent="0.2">
      <c r="A741" t="s">
        <v>1863</v>
      </c>
      <c r="B741" t="s">
        <v>1055</v>
      </c>
      <c r="C741" s="9">
        <v>45882</v>
      </c>
      <c r="D741" s="9">
        <v>45884</v>
      </c>
      <c r="E741" t="s">
        <v>48</v>
      </c>
      <c r="F741" t="s">
        <v>604</v>
      </c>
      <c r="G741">
        <v>72</v>
      </c>
      <c r="H741">
        <v>485.28</v>
      </c>
      <c r="I741" t="s">
        <v>938</v>
      </c>
      <c r="K741" t="b">
        <f>IF(Table1[[#This Row],[dispatch_date]]-Table1[[#This Row],[order_date]] &gt;=0, TRUE, FALSE)</f>
        <v>1</v>
      </c>
    </row>
    <row r="742" spans="1:11" x14ac:dyDescent="0.2">
      <c r="A742" t="s">
        <v>2171</v>
      </c>
      <c r="B742" t="s">
        <v>979</v>
      </c>
      <c r="C742" s="9">
        <v>45882</v>
      </c>
      <c r="D742" s="9">
        <v>45883</v>
      </c>
      <c r="E742" t="s">
        <v>38</v>
      </c>
      <c r="G742">
        <v>36</v>
      </c>
      <c r="H742">
        <v>183.6</v>
      </c>
      <c r="I742" t="s">
        <v>927</v>
      </c>
      <c r="K742" t="b">
        <f>IF(Table1[[#This Row],[dispatch_date]]-Table1[[#This Row],[order_date]] &gt;=0, TRUE, FALSE)</f>
        <v>1</v>
      </c>
    </row>
    <row r="743" spans="1:11" x14ac:dyDescent="0.2">
      <c r="A743" t="s">
        <v>2205</v>
      </c>
      <c r="B743" t="s">
        <v>965</v>
      </c>
      <c r="C743" s="9">
        <v>45882</v>
      </c>
      <c r="D743" s="9">
        <v>45883</v>
      </c>
      <c r="E743" t="s">
        <v>90</v>
      </c>
      <c r="G743">
        <v>48</v>
      </c>
      <c r="H743">
        <v>383.04</v>
      </c>
      <c r="I743" t="s">
        <v>956</v>
      </c>
      <c r="K743" t="b">
        <f>IF(Table1[[#This Row],[dispatch_date]]-Table1[[#This Row],[order_date]] &gt;=0, TRUE, FALSE)</f>
        <v>1</v>
      </c>
    </row>
    <row r="744" spans="1:11" x14ac:dyDescent="0.2">
      <c r="A744" t="s">
        <v>1166</v>
      </c>
      <c r="B744" t="s">
        <v>1059</v>
      </c>
      <c r="C744" s="9">
        <v>45883</v>
      </c>
      <c r="D744" s="9">
        <v>45885</v>
      </c>
      <c r="E744" t="s">
        <v>129</v>
      </c>
      <c r="F744" t="s">
        <v>725</v>
      </c>
      <c r="G744">
        <v>48</v>
      </c>
      <c r="H744">
        <v>228</v>
      </c>
      <c r="I744" t="s">
        <v>956</v>
      </c>
      <c r="K744" t="b">
        <f>IF(Table1[[#This Row],[dispatch_date]]-Table1[[#This Row],[order_date]] &gt;=0, TRUE, FALSE)</f>
        <v>1</v>
      </c>
    </row>
    <row r="745" spans="1:11" x14ac:dyDescent="0.2">
      <c r="A745" t="s">
        <v>1313</v>
      </c>
      <c r="B745" t="s">
        <v>1055</v>
      </c>
      <c r="C745" s="9">
        <v>45883</v>
      </c>
      <c r="D745" s="9">
        <v>45885</v>
      </c>
      <c r="E745" t="s">
        <v>56</v>
      </c>
      <c r="F745" t="s">
        <v>467</v>
      </c>
      <c r="G745">
        <v>72</v>
      </c>
      <c r="H745">
        <v>423.36</v>
      </c>
      <c r="I745" t="s">
        <v>938</v>
      </c>
      <c r="K745" t="b">
        <f>IF(Table1[[#This Row],[dispatch_date]]-Table1[[#This Row],[order_date]] &gt;=0, TRUE, FALSE)</f>
        <v>1</v>
      </c>
    </row>
    <row r="746" spans="1:11" x14ac:dyDescent="0.2">
      <c r="A746" t="s">
        <v>1923</v>
      </c>
      <c r="B746" t="s">
        <v>1069</v>
      </c>
      <c r="C746" s="9">
        <v>45883</v>
      </c>
      <c r="D746" s="9"/>
      <c r="E746" t="s">
        <v>71</v>
      </c>
      <c r="F746" t="s">
        <v>881</v>
      </c>
      <c r="G746">
        <v>6</v>
      </c>
      <c r="H746">
        <v>57.06</v>
      </c>
      <c r="I746" t="s">
        <v>938</v>
      </c>
      <c r="K746" t="b">
        <f>IF(Table1[[#This Row],[dispatch_date]]-Table1[[#This Row],[order_date]] &gt;=0, TRUE, FALSE)</f>
        <v>0</v>
      </c>
    </row>
    <row r="747" spans="1:11" x14ac:dyDescent="0.2">
      <c r="A747" t="s">
        <v>1978</v>
      </c>
      <c r="B747" t="s">
        <v>922</v>
      </c>
      <c r="C747" s="9">
        <v>45883</v>
      </c>
      <c r="D747" s="9">
        <v>45883</v>
      </c>
      <c r="E747" t="s">
        <v>125</v>
      </c>
      <c r="F747" t="s">
        <v>491</v>
      </c>
      <c r="G747">
        <v>24</v>
      </c>
      <c r="H747">
        <v>183.12</v>
      </c>
      <c r="I747" t="s">
        <v>956</v>
      </c>
      <c r="K747" t="b">
        <f>IF(Table1[[#This Row],[dispatch_date]]-Table1[[#This Row],[order_date]] &gt;=0, TRUE, FALSE)</f>
        <v>1</v>
      </c>
    </row>
    <row r="748" spans="1:11" x14ac:dyDescent="0.2">
      <c r="A748" t="s">
        <v>2465</v>
      </c>
      <c r="B748" t="s">
        <v>932</v>
      </c>
      <c r="C748" s="9">
        <v>45883</v>
      </c>
      <c r="D748" s="9">
        <v>45884</v>
      </c>
      <c r="E748" t="s">
        <v>80</v>
      </c>
      <c r="F748" t="s">
        <v>352</v>
      </c>
      <c r="G748">
        <v>6</v>
      </c>
      <c r="H748">
        <v>35.700000000000003</v>
      </c>
      <c r="I748" t="s">
        <v>956</v>
      </c>
      <c r="K748" t="b">
        <f>IF(Table1[[#This Row],[dispatch_date]]-Table1[[#This Row],[order_date]] &gt;=0, TRUE, FALSE)</f>
        <v>1</v>
      </c>
    </row>
    <row r="749" spans="1:11" x14ac:dyDescent="0.2">
      <c r="A749" t="s">
        <v>1107</v>
      </c>
      <c r="B749" t="s">
        <v>1006</v>
      </c>
      <c r="C749" s="9">
        <v>45884</v>
      </c>
      <c r="D749" s="9">
        <v>45885</v>
      </c>
      <c r="E749" t="s">
        <v>84</v>
      </c>
      <c r="F749" t="s">
        <v>757</v>
      </c>
      <c r="G749">
        <v>36</v>
      </c>
      <c r="H749">
        <v>80.28</v>
      </c>
      <c r="I749" t="s">
        <v>912</v>
      </c>
      <c r="K749" t="b">
        <f>IF(Table1[[#This Row],[dispatch_date]]-Table1[[#This Row],[order_date]] &gt;=0, TRUE, FALSE)</f>
        <v>1</v>
      </c>
    </row>
    <row r="750" spans="1:11" x14ac:dyDescent="0.2">
      <c r="A750" t="s">
        <v>1247</v>
      </c>
      <c r="B750" t="s">
        <v>925</v>
      </c>
      <c r="C750" s="9">
        <v>45884</v>
      </c>
      <c r="D750" s="9">
        <v>45885</v>
      </c>
      <c r="E750" t="s">
        <v>30</v>
      </c>
      <c r="F750" t="s">
        <v>872</v>
      </c>
      <c r="G750">
        <v>72</v>
      </c>
      <c r="H750">
        <v>164.16</v>
      </c>
      <c r="I750" t="s">
        <v>927</v>
      </c>
      <c r="K750" t="b">
        <f>IF(Table1[[#This Row],[dispatch_date]]-Table1[[#This Row],[order_date]] &gt;=0, TRUE, FALSE)</f>
        <v>1</v>
      </c>
    </row>
    <row r="751" spans="1:11" x14ac:dyDescent="0.2">
      <c r="A751" t="s">
        <v>1453</v>
      </c>
      <c r="B751" t="s">
        <v>1072</v>
      </c>
      <c r="C751" s="9">
        <v>45884</v>
      </c>
      <c r="D751" s="9">
        <v>45887</v>
      </c>
      <c r="E751" t="s">
        <v>82</v>
      </c>
      <c r="F751" t="s">
        <v>410</v>
      </c>
      <c r="G751">
        <v>12</v>
      </c>
      <c r="H751">
        <v>23.64</v>
      </c>
      <c r="I751" t="s">
        <v>956</v>
      </c>
      <c r="K751" t="b">
        <f>IF(Table1[[#This Row],[dispatch_date]]-Table1[[#This Row],[order_date]] &gt;=0, TRUE, FALSE)</f>
        <v>1</v>
      </c>
    </row>
    <row r="752" spans="1:11" x14ac:dyDescent="0.2">
      <c r="A752" t="s">
        <v>2634</v>
      </c>
      <c r="B752" t="s">
        <v>901</v>
      </c>
      <c r="C752" s="9">
        <v>45884</v>
      </c>
      <c r="D752" s="9">
        <v>45884</v>
      </c>
      <c r="E752" t="s">
        <v>44</v>
      </c>
      <c r="F752" t="s">
        <v>426</v>
      </c>
      <c r="G752">
        <v>12</v>
      </c>
      <c r="H752">
        <v>68.97</v>
      </c>
      <c r="I752" t="s">
        <v>956</v>
      </c>
      <c r="K752" t="b">
        <f>IF(Table1[[#This Row],[dispatch_date]]-Table1[[#This Row],[order_date]] &gt;=0, TRUE, FALSE)</f>
        <v>1</v>
      </c>
    </row>
    <row r="753" spans="1:11" x14ac:dyDescent="0.2">
      <c r="A753" t="s">
        <v>1178</v>
      </c>
      <c r="B753" t="s">
        <v>932</v>
      </c>
      <c r="C753" s="9">
        <v>45885</v>
      </c>
      <c r="D753" s="9">
        <v>45888</v>
      </c>
      <c r="E753" t="s">
        <v>63</v>
      </c>
      <c r="F753" t="s">
        <v>744</v>
      </c>
      <c r="G753">
        <v>24</v>
      </c>
      <c r="H753">
        <v>235.2</v>
      </c>
      <c r="I753" t="s">
        <v>1079</v>
      </c>
      <c r="K753" t="b">
        <f>IF(Table1[[#This Row],[dispatch_date]]-Table1[[#This Row],[order_date]] &gt;=0, TRUE, FALSE)</f>
        <v>1</v>
      </c>
    </row>
    <row r="754" spans="1:11" x14ac:dyDescent="0.2">
      <c r="A754" t="s">
        <v>1967</v>
      </c>
      <c r="B754" t="s">
        <v>965</v>
      </c>
      <c r="C754" s="9">
        <v>45885</v>
      </c>
      <c r="D754" s="9">
        <v>45888</v>
      </c>
      <c r="E754" t="s">
        <v>88</v>
      </c>
      <c r="F754" t="s">
        <v>648</v>
      </c>
      <c r="G754">
        <v>24</v>
      </c>
      <c r="H754">
        <v>99.12</v>
      </c>
      <c r="I754" t="s">
        <v>956</v>
      </c>
      <c r="K754" t="b">
        <f>IF(Table1[[#This Row],[dispatch_date]]-Table1[[#This Row],[order_date]] &gt;=0, TRUE, FALSE)</f>
        <v>1</v>
      </c>
    </row>
    <row r="755" spans="1:11" x14ac:dyDescent="0.2">
      <c r="A755" t="s">
        <v>2219</v>
      </c>
      <c r="B755" t="s">
        <v>1027</v>
      </c>
      <c r="C755" s="9">
        <v>45885</v>
      </c>
      <c r="D755" s="9">
        <v>45885</v>
      </c>
      <c r="E755" t="s">
        <v>101</v>
      </c>
      <c r="G755">
        <v>24</v>
      </c>
      <c r="H755">
        <v>80.64</v>
      </c>
      <c r="I755" t="s">
        <v>916</v>
      </c>
      <c r="K755" t="b">
        <f>IF(Table1[[#This Row],[dispatch_date]]-Table1[[#This Row],[order_date]] &gt;=0, TRUE, FALSE)</f>
        <v>1</v>
      </c>
    </row>
    <row r="756" spans="1:11" x14ac:dyDescent="0.2">
      <c r="A756" t="s">
        <v>2221</v>
      </c>
      <c r="B756" t="s">
        <v>951</v>
      </c>
      <c r="C756" s="9">
        <v>45885</v>
      </c>
      <c r="D756" s="9">
        <v>45888</v>
      </c>
      <c r="E756" t="s">
        <v>14</v>
      </c>
      <c r="F756" t="s">
        <v>201</v>
      </c>
      <c r="G756">
        <v>24</v>
      </c>
      <c r="H756">
        <v>87.6</v>
      </c>
      <c r="I756" t="s">
        <v>956</v>
      </c>
      <c r="K756" t="b">
        <f>IF(Table1[[#This Row],[dispatch_date]]-Table1[[#This Row],[order_date]] &gt;=0, TRUE, FALSE)</f>
        <v>1</v>
      </c>
    </row>
    <row r="757" spans="1:11" x14ac:dyDescent="0.2">
      <c r="A757" t="s">
        <v>2865</v>
      </c>
      <c r="B757" t="s">
        <v>914</v>
      </c>
      <c r="C757" s="9">
        <v>45885</v>
      </c>
      <c r="D757" s="9">
        <v>45885</v>
      </c>
      <c r="E757" t="s">
        <v>54</v>
      </c>
      <c r="F757" t="s">
        <v>341</v>
      </c>
      <c r="G757">
        <v>36</v>
      </c>
      <c r="H757">
        <v>151.51</v>
      </c>
      <c r="I757" t="s">
        <v>916</v>
      </c>
      <c r="K757" t="b">
        <f>IF(Table1[[#This Row],[dispatch_date]]-Table1[[#This Row],[order_date]] &gt;=0, TRUE, FALSE)</f>
        <v>1</v>
      </c>
    </row>
    <row r="758" spans="1:11" x14ac:dyDescent="0.2">
      <c r="A758" t="s">
        <v>1312</v>
      </c>
      <c r="B758" t="s">
        <v>971</v>
      </c>
      <c r="C758" s="9">
        <v>45886</v>
      </c>
      <c r="D758" s="9">
        <v>45887</v>
      </c>
      <c r="E758" t="s">
        <v>25</v>
      </c>
      <c r="F758" t="s">
        <v>610</v>
      </c>
      <c r="G758">
        <v>36</v>
      </c>
      <c r="H758">
        <v>199.8</v>
      </c>
      <c r="I758" t="s">
        <v>956</v>
      </c>
      <c r="K758" t="b">
        <f>IF(Table1[[#This Row],[dispatch_date]]-Table1[[#This Row],[order_date]] &gt;=0, TRUE, FALSE)</f>
        <v>1</v>
      </c>
    </row>
    <row r="759" spans="1:11" x14ac:dyDescent="0.2">
      <c r="A759" t="s">
        <v>1694</v>
      </c>
      <c r="B759" t="s">
        <v>1011</v>
      </c>
      <c r="C759" s="9">
        <v>45886</v>
      </c>
      <c r="D759" s="9">
        <v>45888</v>
      </c>
      <c r="E759" t="s">
        <v>108</v>
      </c>
      <c r="F759" t="s">
        <v>821</v>
      </c>
      <c r="G759">
        <v>24</v>
      </c>
      <c r="H759">
        <v>171.36</v>
      </c>
      <c r="I759" t="s">
        <v>916</v>
      </c>
      <c r="K759" t="b">
        <f>IF(Table1[[#This Row],[dispatch_date]]-Table1[[#This Row],[order_date]] &gt;=0, TRUE, FALSE)</f>
        <v>1</v>
      </c>
    </row>
    <row r="760" spans="1:11" x14ac:dyDescent="0.2">
      <c r="A760" t="s">
        <v>1869</v>
      </c>
      <c r="B760" t="s">
        <v>922</v>
      </c>
      <c r="C760" s="9">
        <v>45886</v>
      </c>
      <c r="D760" s="9">
        <v>45889</v>
      </c>
      <c r="E760" t="s">
        <v>78</v>
      </c>
      <c r="G760">
        <v>24</v>
      </c>
      <c r="H760">
        <v>72.959999999999994</v>
      </c>
      <c r="I760" t="s">
        <v>912</v>
      </c>
      <c r="K760" t="b">
        <f>IF(Table1[[#This Row],[dispatch_date]]-Table1[[#This Row],[order_date]] &gt;=0, TRUE, FALSE)</f>
        <v>1</v>
      </c>
    </row>
    <row r="761" spans="1:11" x14ac:dyDescent="0.2">
      <c r="A761" t="s">
        <v>2266</v>
      </c>
      <c r="B761" t="s">
        <v>1045</v>
      </c>
      <c r="C761" s="9">
        <v>45886</v>
      </c>
      <c r="D761" s="9">
        <v>45887</v>
      </c>
      <c r="E761" t="s">
        <v>99</v>
      </c>
      <c r="F761" t="s">
        <v>361</v>
      </c>
      <c r="G761">
        <v>12</v>
      </c>
      <c r="H761">
        <v>88.68</v>
      </c>
      <c r="I761" t="s">
        <v>912</v>
      </c>
      <c r="K761" t="b">
        <f>IF(Table1[[#This Row],[dispatch_date]]-Table1[[#This Row],[order_date]] &gt;=0, TRUE, FALSE)</f>
        <v>1</v>
      </c>
    </row>
    <row r="762" spans="1:11" x14ac:dyDescent="0.2">
      <c r="A762" t="s">
        <v>2488</v>
      </c>
      <c r="B762" t="s">
        <v>1059</v>
      </c>
      <c r="C762" s="9">
        <v>45886</v>
      </c>
      <c r="D762" s="9">
        <v>45888</v>
      </c>
      <c r="E762" t="s">
        <v>17</v>
      </c>
      <c r="F762" t="s">
        <v>878</v>
      </c>
      <c r="G762">
        <v>72</v>
      </c>
      <c r="H762">
        <v>431.28</v>
      </c>
      <c r="I762" t="s">
        <v>956</v>
      </c>
      <c r="K762" t="b">
        <f>IF(Table1[[#This Row],[dispatch_date]]-Table1[[#This Row],[order_date]] &gt;=0, TRUE, FALSE)</f>
        <v>1</v>
      </c>
    </row>
    <row r="763" spans="1:11" x14ac:dyDescent="0.2">
      <c r="A763" t="s">
        <v>1881</v>
      </c>
      <c r="B763" t="s">
        <v>1064</v>
      </c>
      <c r="C763" s="9">
        <v>45887</v>
      </c>
      <c r="D763" s="9">
        <v>45888</v>
      </c>
      <c r="E763" t="s">
        <v>80</v>
      </c>
      <c r="F763" t="s">
        <v>352</v>
      </c>
      <c r="G763">
        <v>72</v>
      </c>
      <c r="H763">
        <v>428.4</v>
      </c>
      <c r="I763" t="s">
        <v>1079</v>
      </c>
      <c r="K763" t="b">
        <f>IF(Table1[[#This Row],[dispatch_date]]-Table1[[#This Row],[order_date]] &gt;=0, TRUE, FALSE)</f>
        <v>1</v>
      </c>
    </row>
    <row r="764" spans="1:11" x14ac:dyDescent="0.2">
      <c r="A764" t="s">
        <v>2154</v>
      </c>
      <c r="B764" t="s">
        <v>1016</v>
      </c>
      <c r="C764" s="9">
        <v>45887</v>
      </c>
      <c r="D764" s="9">
        <v>45887</v>
      </c>
      <c r="E764" t="s">
        <v>48</v>
      </c>
      <c r="F764" t="s">
        <v>624</v>
      </c>
      <c r="G764">
        <v>48</v>
      </c>
      <c r="H764">
        <v>323.52</v>
      </c>
      <c r="I764" t="s">
        <v>912</v>
      </c>
      <c r="K764" t="b">
        <f>IF(Table1[[#This Row],[dispatch_date]]-Table1[[#This Row],[order_date]] &gt;=0, TRUE, FALSE)</f>
        <v>1</v>
      </c>
    </row>
    <row r="765" spans="1:11" x14ac:dyDescent="0.2">
      <c r="A765" t="s">
        <v>2556</v>
      </c>
      <c r="B765" t="s">
        <v>1042</v>
      </c>
      <c r="C765" s="9">
        <v>45887</v>
      </c>
      <c r="D765" s="9">
        <v>45888</v>
      </c>
      <c r="E765" t="s">
        <v>67</v>
      </c>
      <c r="G765">
        <v>36</v>
      </c>
      <c r="H765">
        <v>190.8</v>
      </c>
      <c r="I765" t="s">
        <v>912</v>
      </c>
      <c r="K765" t="b">
        <f>IF(Table1[[#This Row],[dispatch_date]]-Table1[[#This Row],[order_date]] &gt;=0, TRUE, FALSE)</f>
        <v>1</v>
      </c>
    </row>
    <row r="766" spans="1:11" x14ac:dyDescent="0.2">
      <c r="A766" t="s">
        <v>1383</v>
      </c>
      <c r="B766" t="s">
        <v>993</v>
      </c>
      <c r="C766" s="9">
        <v>45888</v>
      </c>
      <c r="D766" s="9">
        <v>45891</v>
      </c>
      <c r="E766" t="s">
        <v>110</v>
      </c>
      <c r="F766" t="s">
        <v>527</v>
      </c>
      <c r="G766">
        <v>12</v>
      </c>
      <c r="H766">
        <v>39.24</v>
      </c>
      <c r="I766" t="s">
        <v>938</v>
      </c>
      <c r="K766" t="b">
        <f>IF(Table1[[#This Row],[dispatch_date]]-Table1[[#This Row],[order_date]] &gt;=0, TRUE, FALSE)</f>
        <v>1</v>
      </c>
    </row>
    <row r="767" spans="1:11" x14ac:dyDescent="0.2">
      <c r="A767" t="s">
        <v>1347</v>
      </c>
      <c r="B767" t="s">
        <v>952</v>
      </c>
      <c r="C767" s="9">
        <v>45889</v>
      </c>
      <c r="D767" s="9">
        <v>45889</v>
      </c>
      <c r="E767" t="s">
        <v>118</v>
      </c>
      <c r="F767" t="s">
        <v>500</v>
      </c>
      <c r="G767">
        <v>12</v>
      </c>
      <c r="H767">
        <v>149.80000000000001</v>
      </c>
      <c r="I767" t="s">
        <v>938</v>
      </c>
      <c r="K767" t="b">
        <f>IF(Table1[[#This Row],[dispatch_date]]-Table1[[#This Row],[order_date]] &gt;=0, TRUE, FALSE)</f>
        <v>1</v>
      </c>
    </row>
    <row r="768" spans="1:11" x14ac:dyDescent="0.2">
      <c r="A768" t="s">
        <v>2027</v>
      </c>
      <c r="B768" t="s">
        <v>1040</v>
      </c>
      <c r="C768" s="9">
        <v>45889</v>
      </c>
      <c r="D768" s="9">
        <v>45892</v>
      </c>
      <c r="E768" t="s">
        <v>97</v>
      </c>
      <c r="F768" t="s">
        <v>800</v>
      </c>
      <c r="G768">
        <v>24</v>
      </c>
      <c r="H768">
        <v>129.12</v>
      </c>
      <c r="I768" t="s">
        <v>916</v>
      </c>
      <c r="K768" t="b">
        <f>IF(Table1[[#This Row],[dispatch_date]]-Table1[[#This Row],[order_date]] &gt;=0, TRUE, FALSE)</f>
        <v>1</v>
      </c>
    </row>
    <row r="769" spans="1:11" x14ac:dyDescent="0.2">
      <c r="A769" t="s">
        <v>1637</v>
      </c>
      <c r="B769" t="s">
        <v>965</v>
      </c>
      <c r="C769" s="9">
        <v>45891</v>
      </c>
      <c r="D769" s="9">
        <v>45891</v>
      </c>
      <c r="E769" t="s">
        <v>30</v>
      </c>
      <c r="F769" t="s">
        <v>697</v>
      </c>
      <c r="G769">
        <v>24</v>
      </c>
      <c r="H769">
        <v>54.72</v>
      </c>
      <c r="I769" t="s">
        <v>956</v>
      </c>
      <c r="K769" t="b">
        <f>IF(Table1[[#This Row],[dispatch_date]]-Table1[[#This Row],[order_date]] &gt;=0, TRUE, FALSE)</f>
        <v>1</v>
      </c>
    </row>
    <row r="770" spans="1:11" x14ac:dyDescent="0.2">
      <c r="A770" t="s">
        <v>1831</v>
      </c>
      <c r="B770" t="s">
        <v>1009</v>
      </c>
      <c r="C770" s="9">
        <v>45891</v>
      </c>
      <c r="D770" s="9"/>
      <c r="E770" t="s">
        <v>97</v>
      </c>
      <c r="G770">
        <v>48</v>
      </c>
      <c r="H770">
        <v>258.24</v>
      </c>
      <c r="I770" t="s">
        <v>912</v>
      </c>
      <c r="K770" t="b">
        <f>IF(Table1[[#This Row],[dispatch_date]]-Table1[[#This Row],[order_date]] &gt;=0, TRUE, FALSE)</f>
        <v>0</v>
      </c>
    </row>
    <row r="771" spans="1:11" x14ac:dyDescent="0.2">
      <c r="A771" t="s">
        <v>2244</v>
      </c>
      <c r="B771" t="s">
        <v>914</v>
      </c>
      <c r="C771" s="9">
        <v>45891</v>
      </c>
      <c r="D771" s="9">
        <v>45893</v>
      </c>
      <c r="E771" t="s">
        <v>108</v>
      </c>
      <c r="F771" t="s">
        <v>564</v>
      </c>
      <c r="G771">
        <v>72</v>
      </c>
      <c r="H771">
        <v>514.08000000000004</v>
      </c>
      <c r="I771" t="s">
        <v>1079</v>
      </c>
      <c r="K771" t="b">
        <f>IF(Table1[[#This Row],[dispatch_date]]-Table1[[#This Row],[order_date]] &gt;=0, TRUE, FALSE)</f>
        <v>1</v>
      </c>
    </row>
    <row r="772" spans="1:11" x14ac:dyDescent="0.2">
      <c r="A772" t="s">
        <v>2542</v>
      </c>
      <c r="B772" t="s">
        <v>1011</v>
      </c>
      <c r="C772" s="9">
        <v>45891</v>
      </c>
      <c r="D772" s="9">
        <v>45892</v>
      </c>
      <c r="E772" t="s">
        <v>95</v>
      </c>
      <c r="F772" t="s">
        <v>313</v>
      </c>
      <c r="G772">
        <v>36</v>
      </c>
      <c r="H772">
        <v>141.84</v>
      </c>
      <c r="I772" t="s">
        <v>916</v>
      </c>
      <c r="K772" t="b">
        <f>IF(Table1[[#This Row],[dispatch_date]]-Table1[[#This Row],[order_date]] &gt;=0, TRUE, FALSE)</f>
        <v>1</v>
      </c>
    </row>
    <row r="773" spans="1:11" x14ac:dyDescent="0.2">
      <c r="A773" t="s">
        <v>1275</v>
      </c>
      <c r="B773" t="s">
        <v>1021</v>
      </c>
      <c r="C773" s="9">
        <v>45892</v>
      </c>
      <c r="D773" s="9">
        <v>45894</v>
      </c>
      <c r="E773" t="s">
        <v>30</v>
      </c>
      <c r="F773" t="s">
        <v>697</v>
      </c>
      <c r="G773">
        <v>24</v>
      </c>
      <c r="H773">
        <v>57.6</v>
      </c>
      <c r="I773" t="s">
        <v>916</v>
      </c>
      <c r="K773" t="b">
        <f>IF(Table1[[#This Row],[dispatch_date]]-Table1[[#This Row],[order_date]] &gt;=0, TRUE, FALSE)</f>
        <v>1</v>
      </c>
    </row>
    <row r="774" spans="1:11" x14ac:dyDescent="0.2">
      <c r="A774" t="s">
        <v>1434</v>
      </c>
      <c r="B774" t="s">
        <v>936</v>
      </c>
      <c r="C774" s="9">
        <v>45892</v>
      </c>
      <c r="D774" s="9">
        <v>45895</v>
      </c>
      <c r="E774" t="s">
        <v>108</v>
      </c>
      <c r="F774" t="s">
        <v>821</v>
      </c>
      <c r="G774">
        <v>24</v>
      </c>
      <c r="H774">
        <v>171.36</v>
      </c>
      <c r="I774" t="s">
        <v>938</v>
      </c>
      <c r="K774" t="b">
        <f>IF(Table1[[#This Row],[dispatch_date]]-Table1[[#This Row],[order_date]] &gt;=0, TRUE, FALSE)</f>
        <v>1</v>
      </c>
    </row>
    <row r="775" spans="1:11" x14ac:dyDescent="0.2">
      <c r="A775" t="s">
        <v>1724</v>
      </c>
      <c r="B775" t="s">
        <v>987</v>
      </c>
      <c r="C775" s="9">
        <v>45892</v>
      </c>
      <c r="D775" s="9">
        <v>45892</v>
      </c>
      <c r="E775" t="s">
        <v>114</v>
      </c>
      <c r="F775" t="s">
        <v>741</v>
      </c>
      <c r="G775">
        <v>48</v>
      </c>
      <c r="H775">
        <v>237.6</v>
      </c>
      <c r="I775" t="s">
        <v>1079</v>
      </c>
      <c r="K775" t="b">
        <f>IF(Table1[[#This Row],[dispatch_date]]-Table1[[#This Row],[order_date]] &gt;=0, TRUE, FALSE)</f>
        <v>1</v>
      </c>
    </row>
    <row r="776" spans="1:11" x14ac:dyDescent="0.2">
      <c r="A776" t="s">
        <v>1910</v>
      </c>
      <c r="B776" t="s">
        <v>960</v>
      </c>
      <c r="C776" s="9">
        <v>45892</v>
      </c>
      <c r="D776" s="9">
        <v>45894</v>
      </c>
      <c r="E776" t="s">
        <v>97</v>
      </c>
      <c r="F776" t="s">
        <v>191</v>
      </c>
      <c r="G776">
        <v>24</v>
      </c>
      <c r="H776">
        <v>129.12</v>
      </c>
      <c r="I776" t="s">
        <v>938</v>
      </c>
      <c r="K776" t="b">
        <f>IF(Table1[[#This Row],[dispatch_date]]-Table1[[#This Row],[order_date]] &gt;=0, TRUE, FALSE)</f>
        <v>1</v>
      </c>
    </row>
    <row r="777" spans="1:11" x14ac:dyDescent="0.2">
      <c r="A777" t="s">
        <v>2821</v>
      </c>
      <c r="B777" t="s">
        <v>996</v>
      </c>
      <c r="C777" s="9">
        <v>45892</v>
      </c>
      <c r="D777" s="9">
        <v>45894</v>
      </c>
      <c r="E777" t="s">
        <v>121</v>
      </c>
      <c r="F777" t="s">
        <v>498</v>
      </c>
      <c r="G777">
        <v>12</v>
      </c>
      <c r="H777">
        <v>154.08000000000001</v>
      </c>
      <c r="I777" t="s">
        <v>956</v>
      </c>
      <c r="K777" t="b">
        <f>IF(Table1[[#This Row],[dispatch_date]]-Table1[[#This Row],[order_date]] &gt;=0, TRUE, FALSE)</f>
        <v>1</v>
      </c>
    </row>
    <row r="778" spans="1:11" x14ac:dyDescent="0.2">
      <c r="A778" t="s">
        <v>1205</v>
      </c>
      <c r="B778" t="s">
        <v>954</v>
      </c>
      <c r="C778" s="9">
        <v>45893</v>
      </c>
      <c r="D778" s="9">
        <v>45893</v>
      </c>
      <c r="E778" t="s">
        <v>99</v>
      </c>
      <c r="F778" t="s">
        <v>658</v>
      </c>
      <c r="G778">
        <v>72</v>
      </c>
      <c r="H778">
        <v>532.08000000000004</v>
      </c>
      <c r="I778" t="s">
        <v>956</v>
      </c>
      <c r="K778" t="b">
        <f>IF(Table1[[#This Row],[dispatch_date]]-Table1[[#This Row],[order_date]] &gt;=0, TRUE, FALSE)</f>
        <v>1</v>
      </c>
    </row>
    <row r="779" spans="1:11" x14ac:dyDescent="0.2">
      <c r="A779" t="s">
        <v>1404</v>
      </c>
      <c r="B779" t="s">
        <v>932</v>
      </c>
      <c r="C779" s="9">
        <v>45893</v>
      </c>
      <c r="D779" s="9">
        <v>45893</v>
      </c>
      <c r="E779" t="s">
        <v>28</v>
      </c>
      <c r="F779" t="s">
        <v>355</v>
      </c>
      <c r="G779">
        <v>72</v>
      </c>
      <c r="H779">
        <v>413.28</v>
      </c>
      <c r="I779" t="s">
        <v>956</v>
      </c>
      <c r="K779" t="b">
        <f>IF(Table1[[#This Row],[dispatch_date]]-Table1[[#This Row],[order_date]] &gt;=0, TRUE, FALSE)</f>
        <v>1</v>
      </c>
    </row>
    <row r="780" spans="1:11" x14ac:dyDescent="0.2">
      <c r="A780" t="s">
        <v>1835</v>
      </c>
      <c r="B780" t="s">
        <v>979</v>
      </c>
      <c r="C780" s="9">
        <v>45893</v>
      </c>
      <c r="D780" s="9">
        <v>45894</v>
      </c>
      <c r="E780" t="s">
        <v>90</v>
      </c>
      <c r="F780" t="s">
        <v>716</v>
      </c>
      <c r="G780">
        <v>24</v>
      </c>
      <c r="H780">
        <v>191.52</v>
      </c>
      <c r="I780" t="s">
        <v>927</v>
      </c>
      <c r="K780" t="b">
        <f>IF(Table1[[#This Row],[dispatch_date]]-Table1[[#This Row],[order_date]] &gt;=0, TRUE, FALSE)</f>
        <v>1</v>
      </c>
    </row>
    <row r="781" spans="1:11" x14ac:dyDescent="0.2">
      <c r="A781" t="s">
        <v>2144</v>
      </c>
      <c r="B781" t="s">
        <v>1034</v>
      </c>
      <c r="C781" s="9">
        <v>45893</v>
      </c>
      <c r="D781" s="9"/>
      <c r="E781" t="s">
        <v>99</v>
      </c>
      <c r="F781" t="s">
        <v>763</v>
      </c>
      <c r="G781">
        <v>24</v>
      </c>
      <c r="H781">
        <v>168.49</v>
      </c>
      <c r="I781" t="s">
        <v>938</v>
      </c>
      <c r="K781" t="b">
        <f>IF(Table1[[#This Row],[dispatch_date]]-Table1[[#This Row],[order_date]] &gt;=0, TRUE, FALSE)</f>
        <v>0</v>
      </c>
    </row>
    <row r="782" spans="1:11" x14ac:dyDescent="0.2">
      <c r="A782" t="s">
        <v>2450</v>
      </c>
      <c r="B782" t="s">
        <v>1076</v>
      </c>
      <c r="C782" s="9">
        <v>45893</v>
      </c>
      <c r="D782" s="9">
        <v>45895</v>
      </c>
      <c r="E782" t="s">
        <v>67</v>
      </c>
      <c r="F782" t="s">
        <v>751</v>
      </c>
      <c r="G782">
        <v>72</v>
      </c>
      <c r="H782">
        <v>381.6</v>
      </c>
      <c r="I782" t="s">
        <v>927</v>
      </c>
      <c r="K782" t="b">
        <f>IF(Table1[[#This Row],[dispatch_date]]-Table1[[#This Row],[order_date]] &gt;=0, TRUE, FALSE)</f>
        <v>1</v>
      </c>
    </row>
    <row r="783" spans="1:11" x14ac:dyDescent="0.2">
      <c r="A783" t="s">
        <v>1323</v>
      </c>
      <c r="B783" t="s">
        <v>1055</v>
      </c>
      <c r="C783" s="9">
        <v>45894</v>
      </c>
      <c r="D783" s="9">
        <v>45895</v>
      </c>
      <c r="E783" t="s">
        <v>30</v>
      </c>
      <c r="F783" t="s">
        <v>613</v>
      </c>
      <c r="G783">
        <v>12</v>
      </c>
      <c r="H783">
        <v>28.8</v>
      </c>
      <c r="I783" t="s">
        <v>938</v>
      </c>
      <c r="K783" t="b">
        <f>IF(Table1[[#This Row],[dispatch_date]]-Table1[[#This Row],[order_date]] &gt;=0, TRUE, FALSE)</f>
        <v>1</v>
      </c>
    </row>
    <row r="784" spans="1:11" x14ac:dyDescent="0.2">
      <c r="A784" t="s">
        <v>1749</v>
      </c>
      <c r="B784" t="s">
        <v>1040</v>
      </c>
      <c r="C784" s="9">
        <v>45894</v>
      </c>
      <c r="D784" s="9">
        <v>45895</v>
      </c>
      <c r="E784" t="s">
        <v>38</v>
      </c>
      <c r="F784" t="s">
        <v>889</v>
      </c>
      <c r="G784">
        <v>36</v>
      </c>
      <c r="H784">
        <v>183.6</v>
      </c>
      <c r="I784" t="s">
        <v>916</v>
      </c>
      <c r="K784" t="b">
        <f>IF(Table1[[#This Row],[dispatch_date]]-Table1[[#This Row],[order_date]] &gt;=0, TRUE, FALSE)</f>
        <v>1</v>
      </c>
    </row>
    <row r="785" spans="1:11" x14ac:dyDescent="0.2">
      <c r="A785" t="s">
        <v>2485</v>
      </c>
      <c r="B785" t="s">
        <v>962</v>
      </c>
      <c r="C785" s="9">
        <v>45894</v>
      </c>
      <c r="D785" s="9">
        <v>45897</v>
      </c>
      <c r="E785" t="s">
        <v>54</v>
      </c>
      <c r="F785" t="s">
        <v>229</v>
      </c>
      <c r="G785">
        <v>6</v>
      </c>
      <c r="H785">
        <v>26.58</v>
      </c>
      <c r="I785" t="s">
        <v>938</v>
      </c>
      <c r="K785" t="b">
        <f>IF(Table1[[#This Row],[dispatch_date]]-Table1[[#This Row],[order_date]] &gt;=0, TRUE, FALSE)</f>
        <v>1</v>
      </c>
    </row>
    <row r="786" spans="1:11" x14ac:dyDescent="0.2">
      <c r="A786" t="s">
        <v>2486</v>
      </c>
      <c r="B786" t="s">
        <v>932</v>
      </c>
      <c r="C786" s="9">
        <v>45894</v>
      </c>
      <c r="D786" s="9">
        <v>45896</v>
      </c>
      <c r="E786" t="s">
        <v>123</v>
      </c>
      <c r="F786" t="s">
        <v>484</v>
      </c>
      <c r="G786">
        <v>48</v>
      </c>
      <c r="H786">
        <v>318.74</v>
      </c>
      <c r="I786" t="s">
        <v>956</v>
      </c>
      <c r="K786" t="b">
        <f>IF(Table1[[#This Row],[dispatch_date]]-Table1[[#This Row],[order_date]] &gt;=0, TRUE, FALSE)</f>
        <v>1</v>
      </c>
    </row>
    <row r="787" spans="1:11" x14ac:dyDescent="0.2">
      <c r="A787" t="s">
        <v>2591</v>
      </c>
      <c r="B787" t="s">
        <v>971</v>
      </c>
      <c r="C787" s="9">
        <v>45894</v>
      </c>
      <c r="D787" s="9">
        <v>45896</v>
      </c>
      <c r="E787" t="s">
        <v>52</v>
      </c>
      <c r="F787" t="s">
        <v>679</v>
      </c>
      <c r="G787">
        <v>36</v>
      </c>
      <c r="H787">
        <v>177.48</v>
      </c>
      <c r="I787" t="s">
        <v>956</v>
      </c>
      <c r="K787" t="b">
        <f>IF(Table1[[#This Row],[dispatch_date]]-Table1[[#This Row],[order_date]] &gt;=0, TRUE, FALSE)</f>
        <v>1</v>
      </c>
    </row>
    <row r="788" spans="1:11" x14ac:dyDescent="0.2">
      <c r="A788" t="s">
        <v>1272</v>
      </c>
      <c r="B788" t="s">
        <v>1059</v>
      </c>
      <c r="C788" s="9">
        <v>45895</v>
      </c>
      <c r="D788" s="9">
        <v>45896</v>
      </c>
      <c r="E788" t="s">
        <v>48</v>
      </c>
      <c r="F788" t="s">
        <v>802</v>
      </c>
      <c r="G788">
        <v>24</v>
      </c>
      <c r="H788">
        <v>161.76</v>
      </c>
      <c r="I788" t="s">
        <v>956</v>
      </c>
      <c r="K788" t="b">
        <f>IF(Table1[[#This Row],[dispatch_date]]-Table1[[#This Row],[order_date]] &gt;=0, TRUE, FALSE)</f>
        <v>1</v>
      </c>
    </row>
    <row r="789" spans="1:11" x14ac:dyDescent="0.2">
      <c r="A789" t="s">
        <v>2773</v>
      </c>
      <c r="B789" t="s">
        <v>991</v>
      </c>
      <c r="C789" s="9">
        <v>45895</v>
      </c>
      <c r="D789" s="9">
        <v>45895</v>
      </c>
      <c r="E789" t="s">
        <v>82</v>
      </c>
      <c r="F789" t="s">
        <v>868</v>
      </c>
      <c r="G789">
        <v>24</v>
      </c>
      <c r="H789">
        <v>47.28</v>
      </c>
      <c r="I789" t="s">
        <v>956</v>
      </c>
      <c r="K789" t="b">
        <f>IF(Table1[[#This Row],[dispatch_date]]-Table1[[#This Row],[order_date]] &gt;=0, TRUE, FALSE)</f>
        <v>1</v>
      </c>
    </row>
    <row r="790" spans="1:11" x14ac:dyDescent="0.2">
      <c r="A790" t="s">
        <v>1159</v>
      </c>
      <c r="B790" t="s">
        <v>1048</v>
      </c>
      <c r="C790" s="9">
        <v>45896</v>
      </c>
      <c r="D790" s="9">
        <v>45897</v>
      </c>
      <c r="E790" t="s">
        <v>71</v>
      </c>
      <c r="G790">
        <v>24</v>
      </c>
      <c r="H790">
        <v>228.24</v>
      </c>
      <c r="I790" t="s">
        <v>912</v>
      </c>
      <c r="K790" t="b">
        <f>IF(Table1[[#This Row],[dispatch_date]]-Table1[[#This Row],[order_date]] &gt;=0, TRUE, FALSE)</f>
        <v>1</v>
      </c>
    </row>
    <row r="791" spans="1:11" x14ac:dyDescent="0.2">
      <c r="A791" t="s">
        <v>1183</v>
      </c>
      <c r="B791" t="s">
        <v>971</v>
      </c>
      <c r="C791" s="9">
        <v>45896</v>
      </c>
      <c r="D791" s="9">
        <v>45898</v>
      </c>
      <c r="E791" t="s">
        <v>28</v>
      </c>
      <c r="F791" t="s">
        <v>435</v>
      </c>
      <c r="G791">
        <v>24</v>
      </c>
      <c r="H791">
        <v>137.76</v>
      </c>
      <c r="I791" t="s">
        <v>956</v>
      </c>
      <c r="K791" t="b">
        <f>IF(Table1[[#This Row],[dispatch_date]]-Table1[[#This Row],[order_date]] &gt;=0, TRUE, FALSE)</f>
        <v>1</v>
      </c>
    </row>
    <row r="792" spans="1:11" x14ac:dyDescent="0.2">
      <c r="A792" t="s">
        <v>1823</v>
      </c>
      <c r="B792" t="s">
        <v>1040</v>
      </c>
      <c r="C792" s="9">
        <v>45896</v>
      </c>
      <c r="D792" s="9">
        <v>45899</v>
      </c>
      <c r="E792" t="s">
        <v>88</v>
      </c>
      <c r="F792" t="s">
        <v>864</v>
      </c>
      <c r="G792">
        <v>24</v>
      </c>
      <c r="H792">
        <v>99.12</v>
      </c>
      <c r="I792" t="s">
        <v>916</v>
      </c>
      <c r="K792" t="b">
        <f>IF(Table1[[#This Row],[dispatch_date]]-Table1[[#This Row],[order_date]] &gt;=0, TRUE, FALSE)</f>
        <v>1</v>
      </c>
    </row>
    <row r="793" spans="1:11" x14ac:dyDescent="0.2">
      <c r="A793" t="s">
        <v>1878</v>
      </c>
      <c r="B793" t="s">
        <v>996</v>
      </c>
      <c r="C793" s="9">
        <v>45896</v>
      </c>
      <c r="D793" s="9">
        <v>45896</v>
      </c>
      <c r="E793" t="s">
        <v>63</v>
      </c>
      <c r="F793" t="s">
        <v>446</v>
      </c>
      <c r="G793">
        <v>12</v>
      </c>
      <c r="H793">
        <v>117.6</v>
      </c>
      <c r="I793" t="s">
        <v>956</v>
      </c>
      <c r="K793" t="b">
        <f>IF(Table1[[#This Row],[dispatch_date]]-Table1[[#This Row],[order_date]] &gt;=0, TRUE, FALSE)</f>
        <v>1</v>
      </c>
    </row>
    <row r="794" spans="1:11" x14ac:dyDescent="0.2">
      <c r="A794" t="s">
        <v>2457</v>
      </c>
      <c r="B794" t="s">
        <v>1042</v>
      </c>
      <c r="C794" s="9">
        <v>45896</v>
      </c>
      <c r="D794" s="9">
        <v>45899</v>
      </c>
      <c r="E794" t="s">
        <v>58</v>
      </c>
      <c r="F794" t="s">
        <v>235</v>
      </c>
      <c r="G794">
        <v>24</v>
      </c>
      <c r="H794">
        <v>151.19999999999999</v>
      </c>
      <c r="I794" t="s">
        <v>1079</v>
      </c>
      <c r="K794" t="b">
        <f>IF(Table1[[#This Row],[dispatch_date]]-Table1[[#This Row],[order_date]] &gt;=0, TRUE, FALSE)</f>
        <v>1</v>
      </c>
    </row>
    <row r="795" spans="1:11" x14ac:dyDescent="0.2">
      <c r="A795" t="s">
        <v>1905</v>
      </c>
      <c r="B795" t="s">
        <v>965</v>
      </c>
      <c r="C795" s="9">
        <v>45897</v>
      </c>
      <c r="D795" s="9">
        <v>45898</v>
      </c>
      <c r="E795" t="s">
        <v>121</v>
      </c>
      <c r="F795" t="s">
        <v>493</v>
      </c>
      <c r="G795">
        <v>6</v>
      </c>
      <c r="H795">
        <v>77.040000000000006</v>
      </c>
      <c r="I795" t="s">
        <v>956</v>
      </c>
      <c r="K795" t="b">
        <f>IF(Table1[[#This Row],[dispatch_date]]-Table1[[#This Row],[order_date]] &gt;=0, TRUE, FALSE)</f>
        <v>1</v>
      </c>
    </row>
    <row r="796" spans="1:11" x14ac:dyDescent="0.2">
      <c r="A796" t="s">
        <v>2224</v>
      </c>
      <c r="B796" t="s">
        <v>989</v>
      </c>
      <c r="C796" s="9">
        <v>45897</v>
      </c>
      <c r="D796" s="9">
        <v>45899</v>
      </c>
      <c r="E796" t="s">
        <v>65</v>
      </c>
      <c r="F796" t="s">
        <v>508</v>
      </c>
      <c r="G796">
        <v>24</v>
      </c>
      <c r="H796">
        <v>318.48</v>
      </c>
      <c r="I796" t="s">
        <v>916</v>
      </c>
      <c r="K796" t="b">
        <f>IF(Table1[[#This Row],[dispatch_date]]-Table1[[#This Row],[order_date]] &gt;=0, TRUE, FALSE)</f>
        <v>1</v>
      </c>
    </row>
    <row r="797" spans="1:11" x14ac:dyDescent="0.2">
      <c r="A797" t="s">
        <v>2597</v>
      </c>
      <c r="B797" t="s">
        <v>918</v>
      </c>
      <c r="C797" s="9">
        <v>45897</v>
      </c>
      <c r="D797" s="9">
        <v>45897</v>
      </c>
      <c r="E797" t="s">
        <v>125</v>
      </c>
      <c r="G797">
        <v>72</v>
      </c>
      <c r="H797">
        <v>549.36</v>
      </c>
      <c r="I797" t="s">
        <v>912</v>
      </c>
      <c r="K797" t="b">
        <f>IF(Table1[[#This Row],[dispatch_date]]-Table1[[#This Row],[order_date]] &gt;=0, TRUE, FALSE)</f>
        <v>1</v>
      </c>
    </row>
    <row r="798" spans="1:11" x14ac:dyDescent="0.2">
      <c r="A798" t="s">
        <v>1436</v>
      </c>
      <c r="B798" t="s">
        <v>962</v>
      </c>
      <c r="C798" s="9">
        <v>45898</v>
      </c>
      <c r="D798" s="9">
        <v>45900</v>
      </c>
      <c r="E798" t="s">
        <v>90</v>
      </c>
      <c r="F798" t="s">
        <v>209</v>
      </c>
      <c r="G798">
        <v>6</v>
      </c>
      <c r="H798">
        <v>50.4</v>
      </c>
      <c r="I798" t="s">
        <v>956</v>
      </c>
      <c r="K798" t="b">
        <f>IF(Table1[[#This Row],[dispatch_date]]-Table1[[#This Row],[order_date]] &gt;=0, TRUE, FALSE)</f>
        <v>1</v>
      </c>
    </row>
    <row r="799" spans="1:11" x14ac:dyDescent="0.2">
      <c r="A799" t="s">
        <v>1672</v>
      </c>
      <c r="B799" t="s">
        <v>1052</v>
      </c>
      <c r="C799" s="9">
        <v>45898</v>
      </c>
      <c r="D799" s="9">
        <v>45899</v>
      </c>
      <c r="E799" t="s">
        <v>48</v>
      </c>
      <c r="F799" t="s">
        <v>247</v>
      </c>
      <c r="G799">
        <v>6</v>
      </c>
      <c r="H799">
        <v>40.44</v>
      </c>
      <c r="I799" t="s">
        <v>956</v>
      </c>
      <c r="K799" t="b">
        <f>IF(Table1[[#This Row],[dispatch_date]]-Table1[[#This Row],[order_date]] &gt;=0, TRUE, FALSE)</f>
        <v>1</v>
      </c>
    </row>
    <row r="800" spans="1:11" x14ac:dyDescent="0.2">
      <c r="A800" t="s">
        <v>1442</v>
      </c>
      <c r="B800" t="s">
        <v>1076</v>
      </c>
      <c r="C800" s="9">
        <v>45899</v>
      </c>
      <c r="D800" s="9">
        <v>45899</v>
      </c>
      <c r="E800" t="s">
        <v>44</v>
      </c>
      <c r="F800" t="s">
        <v>693</v>
      </c>
      <c r="G800">
        <v>36</v>
      </c>
      <c r="H800">
        <v>217.8</v>
      </c>
      <c r="I800" t="s">
        <v>927</v>
      </c>
      <c r="K800" t="b">
        <f>IF(Table1[[#This Row],[dispatch_date]]-Table1[[#This Row],[order_date]] &gt;=0, TRUE, FALSE)</f>
        <v>1</v>
      </c>
    </row>
    <row r="801" spans="1:11" x14ac:dyDescent="0.2">
      <c r="A801" t="s">
        <v>1635</v>
      </c>
      <c r="B801" t="s">
        <v>987</v>
      </c>
      <c r="C801" s="9">
        <v>45899</v>
      </c>
      <c r="D801" s="9">
        <v>45901</v>
      </c>
      <c r="E801" t="s">
        <v>54</v>
      </c>
      <c r="G801">
        <v>6</v>
      </c>
      <c r="H801">
        <v>26.58</v>
      </c>
      <c r="I801" t="s">
        <v>1079</v>
      </c>
      <c r="K801" t="b">
        <f>IF(Table1[[#This Row],[dispatch_date]]-Table1[[#This Row],[order_date]] &gt;=0, TRUE, FALSE)</f>
        <v>1</v>
      </c>
    </row>
    <row r="802" spans="1:11" x14ac:dyDescent="0.2">
      <c r="A802" t="s">
        <v>2419</v>
      </c>
      <c r="B802" t="s">
        <v>936</v>
      </c>
      <c r="C802" s="9">
        <v>45899</v>
      </c>
      <c r="D802" s="9">
        <v>45901</v>
      </c>
      <c r="E802" t="s">
        <v>99</v>
      </c>
      <c r="F802" t="s">
        <v>595</v>
      </c>
      <c r="G802">
        <v>6</v>
      </c>
      <c r="H802">
        <v>44.34</v>
      </c>
      <c r="I802" t="s">
        <v>938</v>
      </c>
      <c r="K802" t="b">
        <f>IF(Table1[[#This Row],[dispatch_date]]-Table1[[#This Row],[order_date]] &gt;=0, TRUE, FALSE)</f>
        <v>1</v>
      </c>
    </row>
    <row r="803" spans="1:11" x14ac:dyDescent="0.2">
      <c r="A803" t="s">
        <v>2855</v>
      </c>
      <c r="B803" t="s">
        <v>1034</v>
      </c>
      <c r="C803" s="9">
        <v>45899</v>
      </c>
      <c r="D803" s="9">
        <v>45901</v>
      </c>
      <c r="E803" t="s">
        <v>52</v>
      </c>
      <c r="F803" t="s">
        <v>714</v>
      </c>
      <c r="G803">
        <v>6</v>
      </c>
      <c r="H803">
        <v>29.58</v>
      </c>
      <c r="I803" t="s">
        <v>938</v>
      </c>
      <c r="K803" t="b">
        <f>IF(Table1[[#This Row],[dispatch_date]]-Table1[[#This Row],[order_date]] &gt;=0, TRUE, FALSE)</f>
        <v>1</v>
      </c>
    </row>
    <row r="804" spans="1:11" x14ac:dyDescent="0.2">
      <c r="A804" t="s">
        <v>1126</v>
      </c>
      <c r="B804" t="s">
        <v>1045</v>
      </c>
      <c r="C804" s="9">
        <v>45900</v>
      </c>
      <c r="D804" s="9">
        <v>45901</v>
      </c>
      <c r="E804" t="s">
        <v>116</v>
      </c>
      <c r="F804" t="s">
        <v>535</v>
      </c>
      <c r="G804">
        <v>24</v>
      </c>
      <c r="H804">
        <v>116.16</v>
      </c>
      <c r="I804" t="s">
        <v>912</v>
      </c>
      <c r="K804" t="b">
        <f>IF(Table1[[#This Row],[dispatch_date]]-Table1[[#This Row],[order_date]] &gt;=0, TRUE, FALSE)</f>
        <v>1</v>
      </c>
    </row>
    <row r="805" spans="1:11" x14ac:dyDescent="0.2">
      <c r="A805" t="s">
        <v>1280</v>
      </c>
      <c r="B805" t="s">
        <v>1040</v>
      </c>
      <c r="C805" s="9">
        <v>45900</v>
      </c>
      <c r="D805" s="9">
        <v>45902</v>
      </c>
      <c r="E805" t="s">
        <v>50</v>
      </c>
      <c r="G805">
        <v>24</v>
      </c>
      <c r="H805">
        <v>146.4</v>
      </c>
      <c r="I805" t="s">
        <v>916</v>
      </c>
      <c r="K805" t="b">
        <f>IF(Table1[[#This Row],[dispatch_date]]-Table1[[#This Row],[order_date]] &gt;=0, TRUE, FALSE)</f>
        <v>1</v>
      </c>
    </row>
    <row r="806" spans="1:11" x14ac:dyDescent="0.2">
      <c r="A806" t="s">
        <v>1507</v>
      </c>
      <c r="B806" t="s">
        <v>1061</v>
      </c>
      <c r="C806" s="9">
        <v>45900</v>
      </c>
      <c r="D806" s="9">
        <v>45903</v>
      </c>
      <c r="E806" t="s">
        <v>67</v>
      </c>
      <c r="F806" t="s">
        <v>223</v>
      </c>
      <c r="G806">
        <v>6</v>
      </c>
      <c r="H806">
        <v>30.21</v>
      </c>
      <c r="I806" t="s">
        <v>912</v>
      </c>
      <c r="K806" t="b">
        <f>IF(Table1[[#This Row],[dispatch_date]]-Table1[[#This Row],[order_date]] &gt;=0, TRUE, FALSE)</f>
        <v>1</v>
      </c>
    </row>
    <row r="807" spans="1:11" x14ac:dyDescent="0.2">
      <c r="A807" t="s">
        <v>2373</v>
      </c>
      <c r="B807" t="s">
        <v>1004</v>
      </c>
      <c r="C807" s="9">
        <v>45900</v>
      </c>
      <c r="D807" s="9">
        <v>45902</v>
      </c>
      <c r="E807" t="s">
        <v>74</v>
      </c>
      <c r="F807" t="s">
        <v>860</v>
      </c>
      <c r="G807">
        <v>6</v>
      </c>
      <c r="H807">
        <v>12.9</v>
      </c>
      <c r="I807" t="s">
        <v>927</v>
      </c>
      <c r="K807" t="b">
        <f>IF(Table1[[#This Row],[dispatch_date]]-Table1[[#This Row],[order_date]] &gt;=0, TRUE, FALSE)</f>
        <v>1</v>
      </c>
    </row>
    <row r="808" spans="1:11" x14ac:dyDescent="0.2">
      <c r="A808" t="s">
        <v>2570</v>
      </c>
      <c r="B808" t="s">
        <v>1018</v>
      </c>
      <c r="C808" s="9">
        <v>45900</v>
      </c>
      <c r="D808" s="9">
        <v>45902</v>
      </c>
      <c r="E808" t="s">
        <v>25</v>
      </c>
      <c r="F808" t="s">
        <v>709</v>
      </c>
      <c r="G808">
        <v>6</v>
      </c>
      <c r="H808">
        <v>33.299999999999997</v>
      </c>
      <c r="I808" t="s">
        <v>916</v>
      </c>
      <c r="K808" t="b">
        <f>IF(Table1[[#This Row],[dispatch_date]]-Table1[[#This Row],[order_date]] &gt;=0, TRUE, FALSE)</f>
        <v>1</v>
      </c>
    </row>
    <row r="809" spans="1:11" x14ac:dyDescent="0.2">
      <c r="A809" t="s">
        <v>1117</v>
      </c>
      <c r="B809" t="s">
        <v>1069</v>
      </c>
      <c r="C809" s="9">
        <v>45901</v>
      </c>
      <c r="D809" s="9">
        <v>45904</v>
      </c>
      <c r="E809" t="s">
        <v>95</v>
      </c>
      <c r="G809">
        <v>72</v>
      </c>
      <c r="H809">
        <v>283.68</v>
      </c>
      <c r="I809" t="s">
        <v>956</v>
      </c>
      <c r="K809" t="b">
        <f>IF(Table1[[#This Row],[dispatch_date]]-Table1[[#This Row],[order_date]] &gt;=0, TRUE, FALSE)</f>
        <v>1</v>
      </c>
    </row>
    <row r="810" spans="1:11" x14ac:dyDescent="0.2">
      <c r="A810" t="s">
        <v>1402</v>
      </c>
      <c r="B810" t="s">
        <v>929</v>
      </c>
      <c r="C810" s="9">
        <v>45901</v>
      </c>
      <c r="D810" s="9">
        <v>45904</v>
      </c>
      <c r="E810" t="s">
        <v>74</v>
      </c>
      <c r="F810" t="s">
        <v>860</v>
      </c>
      <c r="G810">
        <v>12</v>
      </c>
      <c r="H810">
        <v>24.51</v>
      </c>
      <c r="I810" t="s">
        <v>912</v>
      </c>
      <c r="K810" t="b">
        <f>IF(Table1[[#This Row],[dispatch_date]]-Table1[[#This Row],[order_date]] &gt;=0, TRUE, FALSE)</f>
        <v>1</v>
      </c>
    </row>
    <row r="811" spans="1:11" x14ac:dyDescent="0.2">
      <c r="A811" t="s">
        <v>1747</v>
      </c>
      <c r="B811" t="s">
        <v>922</v>
      </c>
      <c r="C811" s="9">
        <v>45901</v>
      </c>
      <c r="D811" s="9">
        <v>45902</v>
      </c>
      <c r="E811" t="s">
        <v>17</v>
      </c>
      <c r="F811" t="s">
        <v>691</v>
      </c>
      <c r="G811">
        <v>12</v>
      </c>
      <c r="H811">
        <v>71.88</v>
      </c>
      <c r="I811" t="s">
        <v>912</v>
      </c>
      <c r="K811" t="b">
        <f>IF(Table1[[#This Row],[dispatch_date]]-Table1[[#This Row],[order_date]] &gt;=0, TRUE, FALSE)</f>
        <v>1</v>
      </c>
    </row>
    <row r="812" spans="1:11" x14ac:dyDescent="0.2">
      <c r="A812" t="s">
        <v>1973</v>
      </c>
      <c r="B812" t="s">
        <v>1067</v>
      </c>
      <c r="C812" s="9">
        <v>45901</v>
      </c>
      <c r="D812" s="9">
        <v>45902</v>
      </c>
      <c r="E812" t="s">
        <v>123</v>
      </c>
      <c r="F812" t="s">
        <v>721</v>
      </c>
      <c r="G812">
        <v>72</v>
      </c>
      <c r="H812">
        <v>503.28</v>
      </c>
      <c r="I812" t="s">
        <v>956</v>
      </c>
      <c r="K812" t="b">
        <f>IF(Table1[[#This Row],[dispatch_date]]-Table1[[#This Row],[order_date]] &gt;=0, TRUE, FALSE)</f>
        <v>1</v>
      </c>
    </row>
    <row r="813" spans="1:11" x14ac:dyDescent="0.2">
      <c r="A813" t="s">
        <v>2077</v>
      </c>
      <c r="B813" t="s">
        <v>991</v>
      </c>
      <c r="C813" s="9">
        <v>45901</v>
      </c>
      <c r="D813" s="9">
        <v>45903</v>
      </c>
      <c r="E813" t="s">
        <v>42</v>
      </c>
      <c r="F813" t="s">
        <v>874</v>
      </c>
      <c r="G813">
        <v>24</v>
      </c>
      <c r="H813">
        <v>74.56</v>
      </c>
      <c r="I813" t="s">
        <v>956</v>
      </c>
      <c r="K813" t="b">
        <f>IF(Table1[[#This Row],[dispatch_date]]-Table1[[#This Row],[order_date]] &gt;=0, TRUE, FALSE)</f>
        <v>1</v>
      </c>
    </row>
    <row r="814" spans="1:11" x14ac:dyDescent="0.2">
      <c r="A814" t="s">
        <v>2296</v>
      </c>
      <c r="B814" t="s">
        <v>971</v>
      </c>
      <c r="C814" s="9">
        <v>45901</v>
      </c>
      <c r="D814" s="9">
        <v>45901</v>
      </c>
      <c r="E814" t="s">
        <v>84</v>
      </c>
      <c r="G814">
        <v>24</v>
      </c>
      <c r="H814">
        <v>53.52</v>
      </c>
      <c r="I814" t="s">
        <v>916</v>
      </c>
      <c r="K814" t="b">
        <f>IF(Table1[[#This Row],[dispatch_date]]-Table1[[#This Row],[order_date]] &gt;=0, TRUE, FALSE)</f>
        <v>1</v>
      </c>
    </row>
    <row r="815" spans="1:11" x14ac:dyDescent="0.2">
      <c r="A815" t="s">
        <v>1607</v>
      </c>
      <c r="B815" t="s">
        <v>914</v>
      </c>
      <c r="C815" s="9">
        <v>45903</v>
      </c>
      <c r="D815" s="9">
        <v>45905</v>
      </c>
      <c r="E815" t="s">
        <v>56</v>
      </c>
      <c r="F815" t="s">
        <v>761</v>
      </c>
      <c r="G815">
        <v>36</v>
      </c>
      <c r="H815">
        <v>211.68</v>
      </c>
      <c r="I815" t="s">
        <v>916</v>
      </c>
      <c r="K815" t="b">
        <f>IF(Table1[[#This Row],[dispatch_date]]-Table1[[#This Row],[order_date]] &gt;=0, TRUE, FALSE)</f>
        <v>1</v>
      </c>
    </row>
    <row r="816" spans="1:11" x14ac:dyDescent="0.2">
      <c r="A816" t="s">
        <v>2159</v>
      </c>
      <c r="B816" t="s">
        <v>985</v>
      </c>
      <c r="C816" s="9">
        <v>45725</v>
      </c>
      <c r="D816" s="9">
        <v>45727</v>
      </c>
      <c r="E816" t="s">
        <v>36</v>
      </c>
      <c r="F816" t="s">
        <v>291</v>
      </c>
      <c r="G816">
        <v>36</v>
      </c>
      <c r="H816">
        <v>61.56</v>
      </c>
      <c r="I816" t="s">
        <v>1079</v>
      </c>
      <c r="J816" t="s">
        <v>3134</v>
      </c>
      <c r="K816" t="b">
        <f>IF(Table1[[#This Row],[dispatch_date]]-Table1[[#This Row],[order_date]] &gt;=0, TRUE, FALSE)</f>
        <v>1</v>
      </c>
    </row>
    <row r="817" spans="1:11" x14ac:dyDescent="0.2">
      <c r="A817" t="s">
        <v>1336</v>
      </c>
      <c r="B817" t="s">
        <v>1074</v>
      </c>
      <c r="C817" s="9">
        <v>45904</v>
      </c>
      <c r="D817" s="9">
        <v>45904</v>
      </c>
      <c r="E817" t="s">
        <v>33</v>
      </c>
      <c r="F817" t="s">
        <v>831</v>
      </c>
      <c r="G817">
        <v>24</v>
      </c>
      <c r="H817">
        <v>53.04</v>
      </c>
      <c r="I817" t="s">
        <v>916</v>
      </c>
      <c r="K817" t="b">
        <f>IF(Table1[[#This Row],[dispatch_date]]-Table1[[#This Row],[order_date]] &gt;=0, TRUE, FALSE)</f>
        <v>1</v>
      </c>
    </row>
    <row r="818" spans="1:11" x14ac:dyDescent="0.2">
      <c r="A818" t="s">
        <v>1898</v>
      </c>
      <c r="B818" t="s">
        <v>1040</v>
      </c>
      <c r="C818" s="9">
        <v>45904</v>
      </c>
      <c r="D818" s="9">
        <v>45905</v>
      </c>
      <c r="E818" t="s">
        <v>30</v>
      </c>
      <c r="G818">
        <v>72</v>
      </c>
      <c r="H818">
        <v>172.8</v>
      </c>
      <c r="I818" t="s">
        <v>916</v>
      </c>
      <c r="K818" t="b">
        <f>IF(Table1[[#This Row],[dispatch_date]]-Table1[[#This Row],[order_date]] &gt;=0, TRUE, FALSE)</f>
        <v>1</v>
      </c>
    </row>
    <row r="819" spans="1:11" x14ac:dyDescent="0.2">
      <c r="A819" t="s">
        <v>1991</v>
      </c>
      <c r="B819" t="s">
        <v>901</v>
      </c>
      <c r="C819" s="9">
        <v>45904</v>
      </c>
      <c r="D819" s="9">
        <v>45906</v>
      </c>
      <c r="E819" t="s">
        <v>38</v>
      </c>
      <c r="G819">
        <v>6</v>
      </c>
      <c r="H819">
        <v>30.6</v>
      </c>
      <c r="I819" t="s">
        <v>956</v>
      </c>
      <c r="K819" t="b">
        <f>IF(Table1[[#This Row],[dispatch_date]]-Table1[[#This Row],[order_date]] &gt;=0, TRUE, FALSE)</f>
        <v>1</v>
      </c>
    </row>
    <row r="820" spans="1:11" x14ac:dyDescent="0.2">
      <c r="A820" t="s">
        <v>2345</v>
      </c>
      <c r="B820" t="s">
        <v>901</v>
      </c>
      <c r="C820" s="9">
        <v>45904</v>
      </c>
      <c r="D820" s="9">
        <v>45904</v>
      </c>
      <c r="E820" t="s">
        <v>97</v>
      </c>
      <c r="F820" t="s">
        <v>634</v>
      </c>
      <c r="G820">
        <v>48</v>
      </c>
      <c r="H820">
        <v>258.24</v>
      </c>
      <c r="I820" t="s">
        <v>956</v>
      </c>
      <c r="K820" t="b">
        <f>IF(Table1[[#This Row],[dispatch_date]]-Table1[[#This Row],[order_date]] &gt;=0, TRUE, FALSE)</f>
        <v>1</v>
      </c>
    </row>
    <row r="821" spans="1:11" x14ac:dyDescent="0.2">
      <c r="A821" t="s">
        <v>2848</v>
      </c>
      <c r="B821" t="s">
        <v>1037</v>
      </c>
      <c r="C821" s="9">
        <v>45904</v>
      </c>
      <c r="D821" s="9">
        <v>45904</v>
      </c>
      <c r="E821" t="s">
        <v>90</v>
      </c>
      <c r="F821" t="s">
        <v>727</v>
      </c>
      <c r="G821">
        <v>12</v>
      </c>
      <c r="H821">
        <v>100.8</v>
      </c>
      <c r="I821" t="s">
        <v>938</v>
      </c>
      <c r="K821" t="b">
        <f>IF(Table1[[#This Row],[dispatch_date]]-Table1[[#This Row],[order_date]] &gt;=0, TRUE, FALSE)</f>
        <v>1</v>
      </c>
    </row>
    <row r="822" spans="1:11" x14ac:dyDescent="0.2">
      <c r="A822" t="s">
        <v>1865</v>
      </c>
      <c r="B822" t="s">
        <v>932</v>
      </c>
      <c r="C822" s="9">
        <v>45786</v>
      </c>
      <c r="D822" s="9">
        <v>45787</v>
      </c>
      <c r="E822" t="s">
        <v>14</v>
      </c>
      <c r="F822" t="s">
        <v>885</v>
      </c>
      <c r="G822">
        <v>24</v>
      </c>
      <c r="H822">
        <v>87.6</v>
      </c>
      <c r="I822" t="s">
        <v>956</v>
      </c>
      <c r="J822" t="s">
        <v>3134</v>
      </c>
      <c r="K822" t="b">
        <f>IF(Table1[[#This Row],[dispatch_date]]-Table1[[#This Row],[order_date]] &gt;=0, TRUE, FALSE)</f>
        <v>1</v>
      </c>
    </row>
    <row r="823" spans="1:11" x14ac:dyDescent="0.2">
      <c r="A823" t="s">
        <v>1951</v>
      </c>
      <c r="B823" t="s">
        <v>948</v>
      </c>
      <c r="C823" s="9">
        <v>45905</v>
      </c>
      <c r="D823" s="9">
        <v>45905</v>
      </c>
      <c r="E823" t="s">
        <v>69</v>
      </c>
      <c r="F823" t="s">
        <v>837</v>
      </c>
      <c r="G823">
        <v>36</v>
      </c>
      <c r="H823">
        <v>192.24</v>
      </c>
      <c r="I823" t="s">
        <v>938</v>
      </c>
      <c r="K823" t="b">
        <f>IF(Table1[[#This Row],[dispatch_date]]-Table1[[#This Row],[order_date]] &gt;=0, TRUE, FALSE)</f>
        <v>1</v>
      </c>
    </row>
    <row r="824" spans="1:11" x14ac:dyDescent="0.2">
      <c r="A824" t="s">
        <v>1447</v>
      </c>
      <c r="B824" t="s">
        <v>914</v>
      </c>
      <c r="C824" s="9">
        <v>45906</v>
      </c>
      <c r="D824" s="9">
        <v>45906</v>
      </c>
      <c r="E824" t="s">
        <v>28</v>
      </c>
      <c r="G824">
        <v>72</v>
      </c>
      <c r="H824">
        <v>413.28</v>
      </c>
      <c r="I824" t="s">
        <v>916</v>
      </c>
      <c r="K824" t="b">
        <f>IF(Table1[[#This Row],[dispatch_date]]-Table1[[#This Row],[order_date]] &gt;=0, TRUE, FALSE)</f>
        <v>1</v>
      </c>
    </row>
    <row r="825" spans="1:11" x14ac:dyDescent="0.2">
      <c r="A825" t="s">
        <v>2462</v>
      </c>
      <c r="B825" t="s">
        <v>965</v>
      </c>
      <c r="C825" s="9">
        <v>45906</v>
      </c>
      <c r="D825" s="9">
        <v>45908</v>
      </c>
      <c r="E825" t="s">
        <v>105</v>
      </c>
      <c r="G825">
        <v>48</v>
      </c>
      <c r="H825">
        <v>285.60000000000002</v>
      </c>
      <c r="I825" t="s">
        <v>912</v>
      </c>
      <c r="K825" t="b">
        <f>IF(Table1[[#This Row],[dispatch_date]]-Table1[[#This Row],[order_date]] &gt;=0, TRUE, FALSE)</f>
        <v>1</v>
      </c>
    </row>
    <row r="826" spans="1:11" x14ac:dyDescent="0.2">
      <c r="A826" t="s">
        <v>2681</v>
      </c>
      <c r="B826" t="s">
        <v>987</v>
      </c>
      <c r="C826" s="9">
        <v>45906</v>
      </c>
      <c r="D826" s="9">
        <v>45909</v>
      </c>
      <c r="E826" t="s">
        <v>114</v>
      </c>
      <c r="G826">
        <v>36</v>
      </c>
      <c r="H826">
        <v>178.2</v>
      </c>
      <c r="I826" t="s">
        <v>1079</v>
      </c>
      <c r="K826" t="b">
        <f>IF(Table1[[#This Row],[dispatch_date]]-Table1[[#This Row],[order_date]] &gt;=0, TRUE, FALSE)</f>
        <v>1</v>
      </c>
    </row>
    <row r="827" spans="1:11" x14ac:dyDescent="0.2">
      <c r="A827" t="s">
        <v>2346</v>
      </c>
      <c r="B827" t="s">
        <v>985</v>
      </c>
      <c r="C827" s="9">
        <v>45907</v>
      </c>
      <c r="D827" s="9">
        <v>45908</v>
      </c>
      <c r="E827" t="s">
        <v>28</v>
      </c>
      <c r="F827" t="s">
        <v>514</v>
      </c>
      <c r="G827">
        <v>24</v>
      </c>
      <c r="H827">
        <v>137.76</v>
      </c>
      <c r="I827" t="s">
        <v>1079</v>
      </c>
      <c r="K827" t="b">
        <f>IF(Table1[[#This Row],[dispatch_date]]-Table1[[#This Row],[order_date]] &gt;=0, TRUE, FALSE)</f>
        <v>1</v>
      </c>
    </row>
    <row r="828" spans="1:11" x14ac:dyDescent="0.2">
      <c r="A828" t="s">
        <v>2693</v>
      </c>
      <c r="B828" t="s">
        <v>1031</v>
      </c>
      <c r="C828" s="9">
        <v>45907</v>
      </c>
      <c r="D828" s="9">
        <v>45907</v>
      </c>
      <c r="E828" t="s">
        <v>105</v>
      </c>
      <c r="F828" t="s">
        <v>707</v>
      </c>
      <c r="G828">
        <v>6</v>
      </c>
      <c r="H828">
        <v>35.700000000000003</v>
      </c>
      <c r="I828" t="s">
        <v>956</v>
      </c>
      <c r="K828" t="b">
        <f>IF(Table1[[#This Row],[dispatch_date]]-Table1[[#This Row],[order_date]] &gt;=0, TRUE, FALSE)</f>
        <v>1</v>
      </c>
    </row>
    <row r="829" spans="1:11" x14ac:dyDescent="0.2">
      <c r="A829" t="s">
        <v>1364</v>
      </c>
      <c r="B829" t="s">
        <v>993</v>
      </c>
      <c r="C829" s="9">
        <v>45908</v>
      </c>
      <c r="D829" s="9">
        <v>45911</v>
      </c>
      <c r="E829" t="s">
        <v>36</v>
      </c>
      <c r="F829" t="s">
        <v>428</v>
      </c>
      <c r="G829">
        <v>24</v>
      </c>
      <c r="H829">
        <v>41.04</v>
      </c>
      <c r="I829" t="s">
        <v>938</v>
      </c>
      <c r="K829" t="b">
        <f>IF(Table1[[#This Row],[dispatch_date]]-Table1[[#This Row],[order_date]] &gt;=0, TRUE, FALSE)</f>
        <v>1</v>
      </c>
    </row>
    <row r="830" spans="1:11" x14ac:dyDescent="0.2">
      <c r="A830" t="s">
        <v>1765</v>
      </c>
      <c r="B830" t="s">
        <v>948</v>
      </c>
      <c r="C830" s="9">
        <v>45908</v>
      </c>
      <c r="D830" s="9">
        <v>45911</v>
      </c>
      <c r="E830" t="s">
        <v>116</v>
      </c>
      <c r="F830" t="s">
        <v>266</v>
      </c>
      <c r="G830">
        <v>12</v>
      </c>
      <c r="H830">
        <v>58.08</v>
      </c>
      <c r="I830" t="s">
        <v>938</v>
      </c>
      <c r="K830" t="b">
        <f>IF(Table1[[#This Row],[dispatch_date]]-Table1[[#This Row],[order_date]] &gt;=0, TRUE, FALSE)</f>
        <v>1</v>
      </c>
    </row>
    <row r="831" spans="1:11" x14ac:dyDescent="0.2">
      <c r="A831" t="s">
        <v>2124</v>
      </c>
      <c r="B831" t="s">
        <v>1056</v>
      </c>
      <c r="C831" s="9">
        <v>45908</v>
      </c>
      <c r="D831" s="9">
        <v>45908</v>
      </c>
      <c r="E831" t="s">
        <v>48</v>
      </c>
      <c r="F831" t="s">
        <v>198</v>
      </c>
      <c r="G831">
        <v>48</v>
      </c>
      <c r="H831">
        <v>323.52</v>
      </c>
      <c r="I831" t="s">
        <v>912</v>
      </c>
      <c r="K831" t="b">
        <f>IF(Table1[[#This Row],[dispatch_date]]-Table1[[#This Row],[order_date]] &gt;=0, TRUE, FALSE)</f>
        <v>1</v>
      </c>
    </row>
    <row r="832" spans="1:11" x14ac:dyDescent="0.2">
      <c r="A832" t="s">
        <v>1846</v>
      </c>
      <c r="B832" t="s">
        <v>932</v>
      </c>
      <c r="C832" s="9">
        <v>45909</v>
      </c>
      <c r="D832" s="9"/>
      <c r="E832" t="s">
        <v>127</v>
      </c>
      <c r="F832" t="s">
        <v>683</v>
      </c>
      <c r="G832">
        <v>36</v>
      </c>
      <c r="H832">
        <v>147.6</v>
      </c>
      <c r="I832" t="s">
        <v>956</v>
      </c>
      <c r="K832" t="b">
        <f>IF(Table1[[#This Row],[dispatch_date]]-Table1[[#This Row],[order_date]] &gt;=0, TRUE, FALSE)</f>
        <v>0</v>
      </c>
    </row>
    <row r="833" spans="1:11" x14ac:dyDescent="0.2">
      <c r="A833" t="s">
        <v>2381</v>
      </c>
      <c r="B833" t="s">
        <v>1021</v>
      </c>
      <c r="C833" s="9">
        <v>45909</v>
      </c>
      <c r="D833" s="9">
        <v>45911</v>
      </c>
      <c r="E833" t="s">
        <v>103</v>
      </c>
      <c r="F833" t="s">
        <v>887</v>
      </c>
      <c r="G833">
        <v>48</v>
      </c>
      <c r="H833">
        <v>346.08</v>
      </c>
      <c r="I833" t="s">
        <v>916</v>
      </c>
      <c r="K833" t="b">
        <f>IF(Table1[[#This Row],[dispatch_date]]-Table1[[#This Row],[order_date]] &gt;=0, TRUE, FALSE)</f>
        <v>1</v>
      </c>
    </row>
    <row r="834" spans="1:11" x14ac:dyDescent="0.2">
      <c r="A834" t="s">
        <v>2491</v>
      </c>
      <c r="B834" t="s">
        <v>922</v>
      </c>
      <c r="C834" s="9">
        <v>45909</v>
      </c>
      <c r="D834" s="9">
        <v>45909</v>
      </c>
      <c r="E834" t="s">
        <v>36</v>
      </c>
      <c r="F834" t="s">
        <v>755</v>
      </c>
      <c r="G834">
        <v>36</v>
      </c>
      <c r="H834">
        <v>61.56</v>
      </c>
      <c r="I834" t="s">
        <v>1079</v>
      </c>
      <c r="K834" t="b">
        <f>IF(Table1[[#This Row],[dispatch_date]]-Table1[[#This Row],[order_date]] &gt;=0, TRUE, FALSE)</f>
        <v>1</v>
      </c>
    </row>
    <row r="835" spans="1:11" x14ac:dyDescent="0.2">
      <c r="A835" t="s">
        <v>1259</v>
      </c>
      <c r="B835" t="s">
        <v>996</v>
      </c>
      <c r="C835" s="9">
        <v>45910</v>
      </c>
      <c r="D835" s="9">
        <v>45912</v>
      </c>
      <c r="E835" t="s">
        <v>33</v>
      </c>
      <c r="F835" t="s">
        <v>461</v>
      </c>
      <c r="G835">
        <v>12</v>
      </c>
      <c r="H835">
        <v>26.52</v>
      </c>
      <c r="I835" t="s">
        <v>956</v>
      </c>
      <c r="K835" t="b">
        <f>IF(Table1[[#This Row],[dispatch_date]]-Table1[[#This Row],[order_date]] &gt;=0, TRUE, FALSE)</f>
        <v>1</v>
      </c>
    </row>
    <row r="836" spans="1:11" x14ac:dyDescent="0.2">
      <c r="A836" t="s">
        <v>1357</v>
      </c>
      <c r="B836" t="s">
        <v>1074</v>
      </c>
      <c r="C836" s="9">
        <v>45911</v>
      </c>
      <c r="D836" s="9">
        <v>45913</v>
      </c>
      <c r="E836" t="s">
        <v>80</v>
      </c>
      <c r="F836" t="s">
        <v>352</v>
      </c>
      <c r="G836">
        <v>48</v>
      </c>
      <c r="H836">
        <v>285.60000000000002</v>
      </c>
      <c r="I836" t="s">
        <v>916</v>
      </c>
      <c r="K836" t="b">
        <f>IF(Table1[[#This Row],[dispatch_date]]-Table1[[#This Row],[order_date]] &gt;=0, TRUE, FALSE)</f>
        <v>1</v>
      </c>
    </row>
    <row r="837" spans="1:11" x14ac:dyDescent="0.2">
      <c r="A837" t="s">
        <v>1370</v>
      </c>
      <c r="B837" t="s">
        <v>962</v>
      </c>
      <c r="C837" s="9">
        <v>45911</v>
      </c>
      <c r="D837" s="9"/>
      <c r="E837" t="s">
        <v>101</v>
      </c>
      <c r="F837" t="s">
        <v>573</v>
      </c>
      <c r="G837">
        <v>12</v>
      </c>
      <c r="H837">
        <v>40.32</v>
      </c>
      <c r="I837" t="s">
        <v>956</v>
      </c>
      <c r="K837" t="b">
        <f>IF(Table1[[#This Row],[dispatch_date]]-Table1[[#This Row],[order_date]] &gt;=0, TRUE, FALSE)</f>
        <v>0</v>
      </c>
    </row>
    <row r="838" spans="1:11" x14ac:dyDescent="0.2">
      <c r="A838" t="s">
        <v>1639</v>
      </c>
      <c r="B838" t="s">
        <v>1009</v>
      </c>
      <c r="C838" s="9">
        <v>45911</v>
      </c>
      <c r="D838" s="9">
        <v>45911</v>
      </c>
      <c r="E838" t="s">
        <v>80</v>
      </c>
      <c r="G838">
        <v>48</v>
      </c>
      <c r="H838">
        <v>285.60000000000002</v>
      </c>
      <c r="I838" t="s">
        <v>912</v>
      </c>
      <c r="K838" t="b">
        <f>IF(Table1[[#This Row],[dispatch_date]]-Table1[[#This Row],[order_date]] &gt;=0, TRUE, FALSE)</f>
        <v>1</v>
      </c>
    </row>
    <row r="839" spans="1:11" x14ac:dyDescent="0.2">
      <c r="A839" t="s">
        <v>2578</v>
      </c>
      <c r="B839" t="s">
        <v>958</v>
      </c>
      <c r="C839" s="9">
        <v>45911</v>
      </c>
      <c r="D839" s="9">
        <v>45912</v>
      </c>
      <c r="E839" t="s">
        <v>38</v>
      </c>
      <c r="F839" t="s">
        <v>889</v>
      </c>
      <c r="G839">
        <v>36</v>
      </c>
      <c r="H839">
        <v>183.6</v>
      </c>
      <c r="I839" t="s">
        <v>956</v>
      </c>
      <c r="K839" t="b">
        <f>IF(Table1[[#This Row],[dispatch_date]]-Table1[[#This Row],[order_date]] &gt;=0, TRUE, FALSE)</f>
        <v>1</v>
      </c>
    </row>
    <row r="840" spans="1:11" x14ac:dyDescent="0.2">
      <c r="A840" t="s">
        <v>1123</v>
      </c>
      <c r="B840" t="s">
        <v>968</v>
      </c>
      <c r="C840" s="9">
        <v>45912</v>
      </c>
      <c r="D840" s="9">
        <v>45912</v>
      </c>
      <c r="E840" t="s">
        <v>105</v>
      </c>
      <c r="F840" t="s">
        <v>579</v>
      </c>
      <c r="G840">
        <v>24</v>
      </c>
      <c r="H840">
        <v>135.66</v>
      </c>
      <c r="I840" t="s">
        <v>938</v>
      </c>
      <c r="K840" t="b">
        <f>IF(Table1[[#This Row],[dispatch_date]]-Table1[[#This Row],[order_date]] &gt;=0, TRUE, FALSE)</f>
        <v>1</v>
      </c>
    </row>
    <row r="841" spans="1:11" x14ac:dyDescent="0.2">
      <c r="A841" t="s">
        <v>1281</v>
      </c>
      <c r="B841" t="s">
        <v>1027</v>
      </c>
      <c r="C841" s="9">
        <v>45912</v>
      </c>
      <c r="D841" s="9">
        <v>45912</v>
      </c>
      <c r="E841" t="s">
        <v>93</v>
      </c>
      <c r="F841" t="s">
        <v>689</v>
      </c>
      <c r="G841">
        <v>24</v>
      </c>
      <c r="H841">
        <v>63.61</v>
      </c>
      <c r="I841" t="s">
        <v>916</v>
      </c>
      <c r="K841" t="b">
        <f>IF(Table1[[#This Row],[dispatch_date]]-Table1[[#This Row],[order_date]] &gt;=0, TRUE, FALSE)</f>
        <v>1</v>
      </c>
    </row>
    <row r="842" spans="1:11" x14ac:dyDescent="0.2">
      <c r="A842" t="s">
        <v>1515</v>
      </c>
      <c r="B842" t="s">
        <v>1029</v>
      </c>
      <c r="C842" s="9">
        <v>45913</v>
      </c>
      <c r="D842" s="9">
        <v>45916</v>
      </c>
      <c r="E842" t="s">
        <v>127</v>
      </c>
      <c r="F842" t="s">
        <v>305</v>
      </c>
      <c r="G842">
        <v>24</v>
      </c>
      <c r="H842">
        <v>98.4</v>
      </c>
      <c r="I842" t="s">
        <v>1079</v>
      </c>
      <c r="K842" t="b">
        <f>IF(Table1[[#This Row],[dispatch_date]]-Table1[[#This Row],[order_date]] &gt;=0, TRUE, FALSE)</f>
        <v>1</v>
      </c>
    </row>
    <row r="843" spans="1:11" x14ac:dyDescent="0.2">
      <c r="A843" t="s">
        <v>1837</v>
      </c>
      <c r="B843" t="s">
        <v>1059</v>
      </c>
      <c r="C843" s="9">
        <v>45913</v>
      </c>
      <c r="D843" s="9"/>
      <c r="E843" t="s">
        <v>78</v>
      </c>
      <c r="F843" t="s">
        <v>273</v>
      </c>
      <c r="G843">
        <v>72</v>
      </c>
      <c r="H843">
        <v>218.88</v>
      </c>
      <c r="I843" t="s">
        <v>956</v>
      </c>
      <c r="K843" t="b">
        <f>IF(Table1[[#This Row],[dispatch_date]]-Table1[[#This Row],[order_date]] &gt;=0, TRUE, FALSE)</f>
        <v>0</v>
      </c>
    </row>
    <row r="844" spans="1:11" x14ac:dyDescent="0.2">
      <c r="A844" t="s">
        <v>2147</v>
      </c>
      <c r="B844" t="s">
        <v>1061</v>
      </c>
      <c r="C844" s="9">
        <v>45913</v>
      </c>
      <c r="D844" s="9"/>
      <c r="E844" t="s">
        <v>88</v>
      </c>
      <c r="G844">
        <v>72</v>
      </c>
      <c r="H844">
        <v>282.49</v>
      </c>
      <c r="I844" t="s">
        <v>912</v>
      </c>
      <c r="K844" t="b">
        <f>IF(Table1[[#This Row],[dispatch_date]]-Table1[[#This Row],[order_date]] &gt;=0, TRUE, FALSE)</f>
        <v>0</v>
      </c>
    </row>
    <row r="845" spans="1:11" x14ac:dyDescent="0.2">
      <c r="A845" t="s">
        <v>2325</v>
      </c>
      <c r="B845" t="s">
        <v>991</v>
      </c>
      <c r="C845" s="9">
        <v>45913</v>
      </c>
      <c r="D845" s="9">
        <v>45915</v>
      </c>
      <c r="E845" t="s">
        <v>118</v>
      </c>
      <c r="G845">
        <v>12</v>
      </c>
      <c r="H845">
        <v>157.68</v>
      </c>
      <c r="I845" t="s">
        <v>956</v>
      </c>
      <c r="K845" t="b">
        <f>IF(Table1[[#This Row],[dispatch_date]]-Table1[[#This Row],[order_date]] &gt;=0, TRUE, FALSE)</f>
        <v>1</v>
      </c>
    </row>
    <row r="846" spans="1:11" x14ac:dyDescent="0.2">
      <c r="A846" t="s">
        <v>2447</v>
      </c>
      <c r="B846" t="s">
        <v>1029</v>
      </c>
      <c r="C846" s="9">
        <v>45913</v>
      </c>
      <c r="D846" s="9"/>
      <c r="E846" t="s">
        <v>116</v>
      </c>
      <c r="G846">
        <v>36</v>
      </c>
      <c r="H846">
        <v>174.24</v>
      </c>
      <c r="I846" t="s">
        <v>938</v>
      </c>
      <c r="K846" t="b">
        <f>IF(Table1[[#This Row],[dispatch_date]]-Table1[[#This Row],[order_date]] &gt;=0, TRUE, FALSE)</f>
        <v>0</v>
      </c>
    </row>
    <row r="847" spans="1:11" x14ac:dyDescent="0.2">
      <c r="A847" t="s">
        <v>2505</v>
      </c>
      <c r="B847" t="s">
        <v>1037</v>
      </c>
      <c r="C847" s="9">
        <v>45913</v>
      </c>
      <c r="D847" s="9"/>
      <c r="E847" t="s">
        <v>36</v>
      </c>
      <c r="F847" t="s">
        <v>632</v>
      </c>
      <c r="G847">
        <v>24</v>
      </c>
      <c r="H847">
        <v>38.99</v>
      </c>
      <c r="I847" t="s">
        <v>938</v>
      </c>
      <c r="K847" t="b">
        <f>IF(Table1[[#This Row],[dispatch_date]]-Table1[[#This Row],[order_date]] &gt;=0, TRUE, FALSE)</f>
        <v>0</v>
      </c>
    </row>
    <row r="848" spans="1:11" x14ac:dyDescent="0.2">
      <c r="A848" t="s">
        <v>1218</v>
      </c>
      <c r="B848" t="s">
        <v>1064</v>
      </c>
      <c r="C848" s="9">
        <v>45914</v>
      </c>
      <c r="D848" s="9">
        <v>45914</v>
      </c>
      <c r="E848" t="s">
        <v>114</v>
      </c>
      <c r="F848" t="s">
        <v>741</v>
      </c>
      <c r="G848">
        <v>36</v>
      </c>
      <c r="H848">
        <v>178.2</v>
      </c>
      <c r="I848" t="s">
        <v>938</v>
      </c>
      <c r="K848" t="b">
        <f>IF(Table1[[#This Row],[dispatch_date]]-Table1[[#This Row],[order_date]] &gt;=0, TRUE, FALSE)</f>
        <v>1</v>
      </c>
    </row>
    <row r="849" spans="1:11" x14ac:dyDescent="0.2">
      <c r="A849" t="s">
        <v>1304</v>
      </c>
      <c r="B849" t="s">
        <v>952</v>
      </c>
      <c r="C849" s="9">
        <v>45914</v>
      </c>
      <c r="D849" s="9">
        <v>45915</v>
      </c>
      <c r="E849" t="s">
        <v>80</v>
      </c>
      <c r="F849" t="s">
        <v>352</v>
      </c>
      <c r="G849">
        <v>6</v>
      </c>
      <c r="H849">
        <v>35.700000000000003</v>
      </c>
      <c r="I849" t="s">
        <v>1079</v>
      </c>
      <c r="K849" t="b">
        <f>IF(Table1[[#This Row],[dispatch_date]]-Table1[[#This Row],[order_date]] &gt;=0, TRUE, FALSE)</f>
        <v>1</v>
      </c>
    </row>
    <row r="850" spans="1:11" x14ac:dyDescent="0.2">
      <c r="A850" t="s">
        <v>1522</v>
      </c>
      <c r="B850" t="s">
        <v>945</v>
      </c>
      <c r="C850" s="9">
        <v>45914</v>
      </c>
      <c r="D850" s="9">
        <v>45916</v>
      </c>
      <c r="E850" t="s">
        <v>54</v>
      </c>
      <c r="F850" t="s">
        <v>229</v>
      </c>
      <c r="G850">
        <v>24</v>
      </c>
      <c r="H850">
        <v>106.32</v>
      </c>
      <c r="I850" t="s">
        <v>938</v>
      </c>
      <c r="K850" t="b">
        <f>IF(Table1[[#This Row],[dispatch_date]]-Table1[[#This Row],[order_date]] &gt;=0, TRUE, FALSE)</f>
        <v>1</v>
      </c>
    </row>
    <row r="851" spans="1:11" x14ac:dyDescent="0.2">
      <c r="A851" t="s">
        <v>1928</v>
      </c>
      <c r="B851" t="s">
        <v>1056</v>
      </c>
      <c r="C851" s="9">
        <v>45914</v>
      </c>
      <c r="D851" s="9">
        <v>45914</v>
      </c>
      <c r="E851" t="s">
        <v>42</v>
      </c>
      <c r="F851" t="s">
        <v>695</v>
      </c>
      <c r="G851">
        <v>12</v>
      </c>
      <c r="H851">
        <v>39.24</v>
      </c>
      <c r="I851" t="s">
        <v>912</v>
      </c>
      <c r="K851" t="b">
        <f>IF(Table1[[#This Row],[dispatch_date]]-Table1[[#This Row],[order_date]] &gt;=0, TRUE, FALSE)</f>
        <v>1</v>
      </c>
    </row>
    <row r="852" spans="1:11" x14ac:dyDescent="0.2">
      <c r="A852" t="s">
        <v>2167</v>
      </c>
      <c r="B852" t="s">
        <v>1009</v>
      </c>
      <c r="C852" s="9">
        <v>45914</v>
      </c>
      <c r="D852" s="9">
        <v>45917</v>
      </c>
      <c r="E852" t="s">
        <v>14</v>
      </c>
      <c r="F852" t="s">
        <v>383</v>
      </c>
      <c r="G852">
        <v>48</v>
      </c>
      <c r="H852">
        <v>166.44</v>
      </c>
      <c r="I852" t="s">
        <v>912</v>
      </c>
      <c r="K852" t="b">
        <f>IF(Table1[[#This Row],[dispatch_date]]-Table1[[#This Row],[order_date]] &gt;=0, TRUE, FALSE)</f>
        <v>1</v>
      </c>
    </row>
    <row r="853" spans="1:11" x14ac:dyDescent="0.2">
      <c r="A853" t="s">
        <v>1163</v>
      </c>
      <c r="B853" t="s">
        <v>952</v>
      </c>
      <c r="C853" s="9">
        <v>45915</v>
      </c>
      <c r="D853" s="9">
        <v>45918</v>
      </c>
      <c r="E853" t="s">
        <v>74</v>
      </c>
      <c r="F853" t="s">
        <v>708</v>
      </c>
      <c r="G853">
        <v>48</v>
      </c>
      <c r="H853">
        <v>103.2</v>
      </c>
      <c r="I853" t="s">
        <v>938</v>
      </c>
      <c r="K853" t="b">
        <f>IF(Table1[[#This Row],[dispatch_date]]-Table1[[#This Row],[order_date]] &gt;=0, TRUE, FALSE)</f>
        <v>1</v>
      </c>
    </row>
    <row r="854" spans="1:11" x14ac:dyDescent="0.2">
      <c r="A854" t="s">
        <v>1334</v>
      </c>
      <c r="B854" t="s">
        <v>1049</v>
      </c>
      <c r="C854" s="9">
        <v>45915</v>
      </c>
      <c r="D854" s="9">
        <v>45916</v>
      </c>
      <c r="E854" t="s">
        <v>71</v>
      </c>
      <c r="G854">
        <v>24</v>
      </c>
      <c r="H854">
        <v>228.24</v>
      </c>
      <c r="I854" t="s">
        <v>1079</v>
      </c>
      <c r="K854" t="b">
        <f>IF(Table1[[#This Row],[dispatch_date]]-Table1[[#This Row],[order_date]] &gt;=0, TRUE, FALSE)</f>
        <v>1</v>
      </c>
    </row>
    <row r="855" spans="1:11" x14ac:dyDescent="0.2">
      <c r="A855" t="s">
        <v>2048</v>
      </c>
      <c r="B855" t="s">
        <v>1034</v>
      </c>
      <c r="C855" s="9">
        <v>45915</v>
      </c>
      <c r="D855" s="9">
        <v>45915</v>
      </c>
      <c r="E855" t="s">
        <v>52</v>
      </c>
      <c r="F855" t="s">
        <v>796</v>
      </c>
      <c r="G855">
        <v>72</v>
      </c>
      <c r="H855">
        <v>354.96</v>
      </c>
      <c r="I855" t="s">
        <v>938</v>
      </c>
      <c r="K855" t="b">
        <f>IF(Table1[[#This Row],[dispatch_date]]-Table1[[#This Row],[order_date]] &gt;=0, TRUE, FALSE)</f>
        <v>1</v>
      </c>
    </row>
    <row r="856" spans="1:11" x14ac:dyDescent="0.2">
      <c r="A856" t="s">
        <v>2758</v>
      </c>
      <c r="B856" t="s">
        <v>991</v>
      </c>
      <c r="C856" s="9">
        <v>45915</v>
      </c>
      <c r="D856" s="9">
        <v>45915</v>
      </c>
      <c r="E856" t="s">
        <v>118</v>
      </c>
      <c r="F856" t="s">
        <v>500</v>
      </c>
      <c r="G856">
        <v>36</v>
      </c>
      <c r="H856">
        <v>473.04</v>
      </c>
      <c r="I856" t="s">
        <v>956</v>
      </c>
      <c r="K856" t="b">
        <f>IF(Table1[[#This Row],[dispatch_date]]-Table1[[#This Row],[order_date]] &gt;=0, TRUE, FALSE)</f>
        <v>1</v>
      </c>
    </row>
    <row r="857" spans="1:11" x14ac:dyDescent="0.2">
      <c r="A857" t="s">
        <v>1234</v>
      </c>
      <c r="B857" t="s">
        <v>1077</v>
      </c>
      <c r="C857" s="9">
        <v>45916</v>
      </c>
      <c r="D857" s="9">
        <v>45918</v>
      </c>
      <c r="E857" t="s">
        <v>123</v>
      </c>
      <c r="F857" t="s">
        <v>627</v>
      </c>
      <c r="G857">
        <v>24</v>
      </c>
      <c r="H857">
        <v>167.76</v>
      </c>
      <c r="I857" t="s">
        <v>1079</v>
      </c>
      <c r="K857" t="b">
        <f>IF(Table1[[#This Row],[dispatch_date]]-Table1[[#This Row],[order_date]] &gt;=0, TRUE, FALSE)</f>
        <v>1</v>
      </c>
    </row>
    <row r="858" spans="1:11" x14ac:dyDescent="0.2">
      <c r="A858" t="s">
        <v>1282</v>
      </c>
      <c r="B858" t="s">
        <v>1052</v>
      </c>
      <c r="C858" s="9">
        <v>45916</v>
      </c>
      <c r="D858" s="9">
        <v>45918</v>
      </c>
      <c r="E858" t="s">
        <v>40</v>
      </c>
      <c r="F858" t="s">
        <v>551</v>
      </c>
      <c r="G858">
        <v>48</v>
      </c>
      <c r="H858">
        <v>186.72</v>
      </c>
      <c r="I858" t="s">
        <v>956</v>
      </c>
      <c r="K858" t="b">
        <f>IF(Table1[[#This Row],[dispatch_date]]-Table1[[#This Row],[order_date]] &gt;=0, TRUE, FALSE)</f>
        <v>1</v>
      </c>
    </row>
    <row r="859" spans="1:11" x14ac:dyDescent="0.2">
      <c r="A859" t="s">
        <v>2059</v>
      </c>
      <c r="B859" t="s">
        <v>906</v>
      </c>
      <c r="C859" s="9">
        <v>45916</v>
      </c>
      <c r="D859" s="9">
        <v>45919</v>
      </c>
      <c r="E859" t="s">
        <v>84</v>
      </c>
      <c r="F859" t="s">
        <v>303</v>
      </c>
      <c r="G859">
        <v>36</v>
      </c>
      <c r="H859">
        <v>76.27</v>
      </c>
      <c r="I859" t="s">
        <v>938</v>
      </c>
      <c r="K859" t="b">
        <f>IF(Table1[[#This Row],[dispatch_date]]-Table1[[#This Row],[order_date]] &gt;=0, TRUE, FALSE)</f>
        <v>1</v>
      </c>
    </row>
    <row r="860" spans="1:11" x14ac:dyDescent="0.2">
      <c r="A860" t="s">
        <v>2601</v>
      </c>
      <c r="B860" t="s">
        <v>958</v>
      </c>
      <c r="C860" s="9">
        <v>45916</v>
      </c>
      <c r="D860" s="9">
        <v>45916</v>
      </c>
      <c r="E860" t="s">
        <v>44</v>
      </c>
      <c r="F860" t="s">
        <v>511</v>
      </c>
      <c r="G860">
        <v>24</v>
      </c>
      <c r="H860">
        <v>145.19999999999999</v>
      </c>
      <c r="I860" t="s">
        <v>956</v>
      </c>
      <c r="K860" t="b">
        <f>IF(Table1[[#This Row],[dispatch_date]]-Table1[[#This Row],[order_date]] &gt;=0, TRUE, FALSE)</f>
        <v>1</v>
      </c>
    </row>
    <row r="861" spans="1:11" x14ac:dyDescent="0.2">
      <c r="A861" t="s">
        <v>1829</v>
      </c>
      <c r="B861" t="s">
        <v>1046</v>
      </c>
      <c r="C861" s="9">
        <v>45917</v>
      </c>
      <c r="D861" s="9">
        <v>45919</v>
      </c>
      <c r="E861" t="s">
        <v>74</v>
      </c>
      <c r="F861" t="s">
        <v>537</v>
      </c>
      <c r="G861">
        <v>48</v>
      </c>
      <c r="H861">
        <v>103.2</v>
      </c>
      <c r="I861" t="s">
        <v>956</v>
      </c>
      <c r="K861" t="b">
        <f>IF(Table1[[#This Row],[dispatch_date]]-Table1[[#This Row],[order_date]] &gt;=0, TRUE, FALSE)</f>
        <v>1</v>
      </c>
    </row>
    <row r="862" spans="1:11" x14ac:dyDescent="0.2">
      <c r="A862" t="s">
        <v>2395</v>
      </c>
      <c r="B862" t="s">
        <v>1077</v>
      </c>
      <c r="C862" s="9">
        <v>45917</v>
      </c>
      <c r="D862" s="9"/>
      <c r="E862" t="s">
        <v>101</v>
      </c>
      <c r="F862" t="s">
        <v>773</v>
      </c>
      <c r="G862">
        <v>48</v>
      </c>
      <c r="H862">
        <v>161.28</v>
      </c>
      <c r="I862" t="s">
        <v>1079</v>
      </c>
      <c r="K862" t="b">
        <f>IF(Table1[[#This Row],[dispatch_date]]-Table1[[#This Row],[order_date]] &gt;=0, TRUE, FALSE)</f>
        <v>0</v>
      </c>
    </row>
    <row r="863" spans="1:11" x14ac:dyDescent="0.2">
      <c r="A863" t="s">
        <v>2651</v>
      </c>
      <c r="B863" t="s">
        <v>979</v>
      </c>
      <c r="C863" s="9">
        <v>45917</v>
      </c>
      <c r="D863" s="9">
        <v>45919</v>
      </c>
      <c r="E863" t="s">
        <v>116</v>
      </c>
      <c r="F863" t="s">
        <v>638</v>
      </c>
      <c r="G863">
        <v>24</v>
      </c>
      <c r="H863">
        <v>116.16</v>
      </c>
      <c r="I863" t="s">
        <v>916</v>
      </c>
      <c r="K863" t="b">
        <f>IF(Table1[[#This Row],[dispatch_date]]-Table1[[#This Row],[order_date]] &gt;=0, TRUE, FALSE)</f>
        <v>1</v>
      </c>
    </row>
    <row r="864" spans="1:11" x14ac:dyDescent="0.2">
      <c r="A864" t="s">
        <v>2652</v>
      </c>
      <c r="B864" t="s">
        <v>925</v>
      </c>
      <c r="C864" s="9">
        <v>45917</v>
      </c>
      <c r="D864" s="9">
        <v>45917</v>
      </c>
      <c r="E864" t="s">
        <v>101</v>
      </c>
      <c r="F864" t="s">
        <v>573</v>
      </c>
      <c r="G864">
        <v>36</v>
      </c>
      <c r="H864">
        <v>120.96</v>
      </c>
      <c r="I864" t="s">
        <v>927</v>
      </c>
      <c r="K864" t="b">
        <f>IF(Table1[[#This Row],[dispatch_date]]-Table1[[#This Row],[order_date]] &gt;=0, TRUE, FALSE)</f>
        <v>1</v>
      </c>
    </row>
    <row r="865" spans="1:11" x14ac:dyDescent="0.2">
      <c r="A865" t="s">
        <v>2497</v>
      </c>
      <c r="B865" t="s">
        <v>962</v>
      </c>
      <c r="C865" s="9">
        <v>45918</v>
      </c>
      <c r="D865" s="9">
        <v>45919</v>
      </c>
      <c r="E865" t="s">
        <v>78</v>
      </c>
      <c r="F865" t="s">
        <v>273</v>
      </c>
      <c r="G865">
        <v>24</v>
      </c>
      <c r="H865">
        <v>76.8</v>
      </c>
      <c r="I865" t="s">
        <v>956</v>
      </c>
      <c r="K865" t="b">
        <f>IF(Table1[[#This Row],[dispatch_date]]-Table1[[#This Row],[order_date]] &gt;=0, TRUE, FALSE)</f>
        <v>1</v>
      </c>
    </row>
    <row r="866" spans="1:11" x14ac:dyDescent="0.2">
      <c r="A866" t="s">
        <v>2708</v>
      </c>
      <c r="B866" t="s">
        <v>939</v>
      </c>
      <c r="C866" s="9">
        <v>45918</v>
      </c>
      <c r="D866" s="9">
        <v>45921</v>
      </c>
      <c r="E866" t="s">
        <v>88</v>
      </c>
      <c r="F866" t="s">
        <v>883</v>
      </c>
      <c r="G866">
        <v>24</v>
      </c>
      <c r="H866">
        <v>99.12</v>
      </c>
      <c r="I866" t="s">
        <v>916</v>
      </c>
      <c r="K866" t="b">
        <f>IF(Table1[[#This Row],[dispatch_date]]-Table1[[#This Row],[order_date]] &gt;=0, TRUE, FALSE)</f>
        <v>1</v>
      </c>
    </row>
    <row r="867" spans="1:11" x14ac:dyDescent="0.2">
      <c r="A867" t="s">
        <v>1444</v>
      </c>
      <c r="B867" t="s">
        <v>1037</v>
      </c>
      <c r="C867" s="9">
        <v>45919</v>
      </c>
      <c r="D867" s="9">
        <v>45919</v>
      </c>
      <c r="E867" t="s">
        <v>63</v>
      </c>
      <c r="F867" t="s">
        <v>744</v>
      </c>
      <c r="G867">
        <v>24</v>
      </c>
      <c r="H867">
        <v>235.2</v>
      </c>
      <c r="I867" t="s">
        <v>938</v>
      </c>
      <c r="K867" t="b">
        <f>IF(Table1[[#This Row],[dispatch_date]]-Table1[[#This Row],[order_date]] &gt;=0, TRUE, FALSE)</f>
        <v>1</v>
      </c>
    </row>
    <row r="868" spans="1:11" x14ac:dyDescent="0.2">
      <c r="A868" t="s">
        <v>2227</v>
      </c>
      <c r="B868" t="s">
        <v>1060</v>
      </c>
      <c r="C868" s="9">
        <v>45919</v>
      </c>
      <c r="D868" s="9">
        <v>45920</v>
      </c>
      <c r="E868" t="s">
        <v>118</v>
      </c>
      <c r="G868">
        <v>48</v>
      </c>
      <c r="H868">
        <v>630.72</v>
      </c>
      <c r="I868" t="s">
        <v>956</v>
      </c>
      <c r="K868" t="b">
        <f>IF(Table1[[#This Row],[dispatch_date]]-Table1[[#This Row],[order_date]] &gt;=0, TRUE, FALSE)</f>
        <v>1</v>
      </c>
    </row>
    <row r="869" spans="1:11" x14ac:dyDescent="0.2">
      <c r="A869" t="s">
        <v>1182</v>
      </c>
      <c r="B869" t="s">
        <v>942</v>
      </c>
      <c r="C869" s="9">
        <v>45920</v>
      </c>
      <c r="D869" s="9">
        <v>45920</v>
      </c>
      <c r="E869" t="s">
        <v>88</v>
      </c>
      <c r="F869" t="s">
        <v>864</v>
      </c>
      <c r="G869">
        <v>72</v>
      </c>
      <c r="H869">
        <v>297.36</v>
      </c>
      <c r="I869" t="s">
        <v>916</v>
      </c>
      <c r="K869" t="b">
        <f>IF(Table1[[#This Row],[dispatch_date]]-Table1[[#This Row],[order_date]] &gt;=0, TRUE, FALSE)</f>
        <v>1</v>
      </c>
    </row>
    <row r="870" spans="1:11" x14ac:dyDescent="0.2">
      <c r="A870" t="s">
        <v>1496</v>
      </c>
      <c r="B870" t="s">
        <v>929</v>
      </c>
      <c r="C870" s="9">
        <v>45920</v>
      </c>
      <c r="D870" s="9">
        <v>45921</v>
      </c>
      <c r="E870" t="s">
        <v>80</v>
      </c>
      <c r="F870" t="s">
        <v>352</v>
      </c>
      <c r="G870">
        <v>6</v>
      </c>
      <c r="H870">
        <v>33.909999999999997</v>
      </c>
      <c r="I870" t="s">
        <v>912</v>
      </c>
      <c r="K870" t="b">
        <f>IF(Table1[[#This Row],[dispatch_date]]-Table1[[#This Row],[order_date]] &gt;=0, TRUE, FALSE)</f>
        <v>1</v>
      </c>
    </row>
    <row r="871" spans="1:11" x14ac:dyDescent="0.2">
      <c r="A871" t="s">
        <v>1409</v>
      </c>
      <c r="B871" t="s">
        <v>1037</v>
      </c>
      <c r="C871" s="9">
        <v>45921</v>
      </c>
      <c r="D871" s="9">
        <v>45922</v>
      </c>
      <c r="E871" t="s">
        <v>114</v>
      </c>
      <c r="F871" t="s">
        <v>471</v>
      </c>
      <c r="G871">
        <v>36</v>
      </c>
      <c r="H871">
        <v>169.29</v>
      </c>
      <c r="I871" t="s">
        <v>938</v>
      </c>
      <c r="K871" t="b">
        <f>IF(Table1[[#This Row],[dispatch_date]]-Table1[[#This Row],[order_date]] &gt;=0, TRUE, FALSE)</f>
        <v>1</v>
      </c>
    </row>
    <row r="872" spans="1:11" x14ac:dyDescent="0.2">
      <c r="A872" t="s">
        <v>1855</v>
      </c>
      <c r="B872" t="s">
        <v>1072</v>
      </c>
      <c r="C872" s="9">
        <v>45921</v>
      </c>
      <c r="D872" s="9">
        <v>45924</v>
      </c>
      <c r="E872" t="s">
        <v>114</v>
      </c>
      <c r="F872" t="s">
        <v>706</v>
      </c>
      <c r="G872">
        <v>6</v>
      </c>
      <c r="H872">
        <v>28.21</v>
      </c>
      <c r="I872" t="s">
        <v>956</v>
      </c>
      <c r="K872" t="b">
        <f>IF(Table1[[#This Row],[dispatch_date]]-Table1[[#This Row],[order_date]] &gt;=0, TRUE, FALSE)</f>
        <v>1</v>
      </c>
    </row>
    <row r="873" spans="1:11" x14ac:dyDescent="0.2">
      <c r="A873" t="s">
        <v>2434</v>
      </c>
      <c r="B873" t="s">
        <v>922</v>
      </c>
      <c r="C873" s="9">
        <v>45921</v>
      </c>
      <c r="D873" s="9">
        <v>45923</v>
      </c>
      <c r="E873" t="s">
        <v>127</v>
      </c>
      <c r="F873" t="s">
        <v>683</v>
      </c>
      <c r="G873">
        <v>72</v>
      </c>
      <c r="H873">
        <v>280.44</v>
      </c>
      <c r="I873" t="s">
        <v>912</v>
      </c>
      <c r="K873" t="b">
        <f>IF(Table1[[#This Row],[dispatch_date]]-Table1[[#This Row],[order_date]] &gt;=0, TRUE, FALSE)</f>
        <v>1</v>
      </c>
    </row>
    <row r="874" spans="1:11" x14ac:dyDescent="0.2">
      <c r="A874" t="s">
        <v>2828</v>
      </c>
      <c r="B874" t="s">
        <v>968</v>
      </c>
      <c r="C874" s="9">
        <v>45921</v>
      </c>
      <c r="D874" s="9">
        <v>45922</v>
      </c>
      <c r="E874" t="s">
        <v>78</v>
      </c>
      <c r="G874">
        <v>48</v>
      </c>
      <c r="H874">
        <v>153.6</v>
      </c>
      <c r="I874" t="s">
        <v>938</v>
      </c>
      <c r="K874" t="b">
        <f>IF(Table1[[#This Row],[dispatch_date]]-Table1[[#This Row],[order_date]] &gt;=0, TRUE, FALSE)</f>
        <v>1</v>
      </c>
    </row>
    <row r="875" spans="1:11" x14ac:dyDescent="0.2">
      <c r="A875" t="s">
        <v>1296</v>
      </c>
      <c r="B875" t="s">
        <v>922</v>
      </c>
      <c r="C875" s="9">
        <v>45922</v>
      </c>
      <c r="D875" s="9">
        <v>45923</v>
      </c>
      <c r="E875" t="s">
        <v>74</v>
      </c>
      <c r="F875" t="s">
        <v>708</v>
      </c>
      <c r="G875">
        <v>24</v>
      </c>
      <c r="H875">
        <v>49.02</v>
      </c>
      <c r="I875" t="s">
        <v>912</v>
      </c>
      <c r="K875" t="b">
        <f>IF(Table1[[#This Row],[dispatch_date]]-Table1[[#This Row],[order_date]] &gt;=0, TRUE, FALSE)</f>
        <v>1</v>
      </c>
    </row>
    <row r="876" spans="1:11" x14ac:dyDescent="0.2">
      <c r="A876" t="s">
        <v>2116</v>
      </c>
      <c r="B876" t="s">
        <v>1021</v>
      </c>
      <c r="C876" s="9">
        <v>45922</v>
      </c>
      <c r="D876" s="9">
        <v>45923</v>
      </c>
      <c r="E876" t="s">
        <v>97</v>
      </c>
      <c r="F876" t="s">
        <v>800</v>
      </c>
      <c r="G876">
        <v>48</v>
      </c>
      <c r="H876">
        <v>258.24</v>
      </c>
      <c r="I876" t="s">
        <v>916</v>
      </c>
      <c r="K876" t="b">
        <f>IF(Table1[[#This Row],[dispatch_date]]-Table1[[#This Row],[order_date]] &gt;=0, TRUE, FALSE)</f>
        <v>1</v>
      </c>
    </row>
    <row r="877" spans="1:11" x14ac:dyDescent="0.2">
      <c r="A877" t="s">
        <v>2461</v>
      </c>
      <c r="B877" t="s">
        <v>1016</v>
      </c>
      <c r="C877" s="9">
        <v>45922</v>
      </c>
      <c r="D877" s="9">
        <v>45923</v>
      </c>
      <c r="E877" t="s">
        <v>33</v>
      </c>
      <c r="F877" t="s">
        <v>831</v>
      </c>
      <c r="G877">
        <v>72</v>
      </c>
      <c r="H877">
        <v>159.12</v>
      </c>
      <c r="I877" t="s">
        <v>912</v>
      </c>
      <c r="K877" t="b">
        <f>IF(Table1[[#This Row],[dispatch_date]]-Table1[[#This Row],[order_date]] &gt;=0, TRUE, FALSE)</f>
        <v>1</v>
      </c>
    </row>
    <row r="878" spans="1:11" x14ac:dyDescent="0.2">
      <c r="A878" t="s">
        <v>1450</v>
      </c>
      <c r="B878" t="s">
        <v>1074</v>
      </c>
      <c r="C878" s="9">
        <v>45923</v>
      </c>
      <c r="D878" s="9">
        <v>45926</v>
      </c>
      <c r="E878" t="s">
        <v>30</v>
      </c>
      <c r="F878" t="s">
        <v>697</v>
      </c>
      <c r="G878">
        <v>48</v>
      </c>
      <c r="H878">
        <v>115.2</v>
      </c>
      <c r="I878" t="s">
        <v>938</v>
      </c>
      <c r="K878" t="b">
        <f>IF(Table1[[#This Row],[dispatch_date]]-Table1[[#This Row],[order_date]] &gt;=0, TRUE, FALSE)</f>
        <v>1</v>
      </c>
    </row>
    <row r="879" spans="1:11" x14ac:dyDescent="0.2">
      <c r="A879" t="s">
        <v>1454</v>
      </c>
      <c r="B879" t="s">
        <v>951</v>
      </c>
      <c r="C879" s="9">
        <v>45923</v>
      </c>
      <c r="D879" s="9">
        <v>45923</v>
      </c>
      <c r="E879" t="s">
        <v>28</v>
      </c>
      <c r="G879">
        <v>24</v>
      </c>
      <c r="H879">
        <v>137.76</v>
      </c>
      <c r="I879" t="s">
        <v>912</v>
      </c>
      <c r="K879" t="b">
        <f>IF(Table1[[#This Row],[dispatch_date]]-Table1[[#This Row],[order_date]] &gt;=0, TRUE, FALSE)</f>
        <v>1</v>
      </c>
    </row>
    <row r="880" spans="1:11" x14ac:dyDescent="0.2">
      <c r="A880" t="s">
        <v>1899</v>
      </c>
      <c r="B880" t="s">
        <v>979</v>
      </c>
      <c r="C880" s="9">
        <v>45923</v>
      </c>
      <c r="D880" s="9">
        <v>45923</v>
      </c>
      <c r="E880" t="s">
        <v>103</v>
      </c>
      <c r="F880" t="s">
        <v>887</v>
      </c>
      <c r="G880">
        <v>48</v>
      </c>
      <c r="H880">
        <v>346.08</v>
      </c>
      <c r="I880" t="s">
        <v>927</v>
      </c>
      <c r="K880" t="b">
        <f>IF(Table1[[#This Row],[dispatch_date]]-Table1[[#This Row],[order_date]] &gt;=0, TRUE, FALSE)</f>
        <v>1</v>
      </c>
    </row>
    <row r="881" spans="1:11" x14ac:dyDescent="0.2">
      <c r="A881" t="s">
        <v>2312</v>
      </c>
      <c r="B881" t="s">
        <v>951</v>
      </c>
      <c r="C881" s="9">
        <v>45923</v>
      </c>
      <c r="D881" s="9">
        <v>45923</v>
      </c>
      <c r="E881" t="s">
        <v>86</v>
      </c>
      <c r="F881" t="s">
        <v>310</v>
      </c>
      <c r="G881">
        <v>72</v>
      </c>
      <c r="H881">
        <v>229.68</v>
      </c>
      <c r="I881" t="s">
        <v>916</v>
      </c>
      <c r="K881" t="b">
        <f>IF(Table1[[#This Row],[dispatch_date]]-Table1[[#This Row],[order_date]] &gt;=0, TRUE, FALSE)</f>
        <v>1</v>
      </c>
    </row>
    <row r="882" spans="1:11" x14ac:dyDescent="0.2">
      <c r="A882" t="s">
        <v>2523</v>
      </c>
      <c r="B882" t="s">
        <v>1040</v>
      </c>
      <c r="C882" s="9">
        <v>45923</v>
      </c>
      <c r="D882" s="9">
        <v>45925</v>
      </c>
      <c r="E882" t="s">
        <v>123</v>
      </c>
      <c r="F882" t="s">
        <v>627</v>
      </c>
      <c r="G882">
        <v>12</v>
      </c>
      <c r="H882">
        <v>83.88</v>
      </c>
      <c r="I882" t="s">
        <v>916</v>
      </c>
      <c r="K882" t="b">
        <f>IF(Table1[[#This Row],[dispatch_date]]-Table1[[#This Row],[order_date]] &gt;=0, TRUE, FALSE)</f>
        <v>1</v>
      </c>
    </row>
    <row r="883" spans="1:11" x14ac:dyDescent="0.2">
      <c r="A883" t="s">
        <v>2596</v>
      </c>
      <c r="B883" t="s">
        <v>1027</v>
      </c>
      <c r="C883" s="9">
        <v>45923</v>
      </c>
      <c r="D883" s="9">
        <v>45924</v>
      </c>
      <c r="E883" t="s">
        <v>30</v>
      </c>
      <c r="F883" t="s">
        <v>872</v>
      </c>
      <c r="G883">
        <v>24</v>
      </c>
      <c r="H883">
        <v>57.6</v>
      </c>
      <c r="I883" t="s">
        <v>916</v>
      </c>
      <c r="K883" t="b">
        <f>IF(Table1[[#This Row],[dispatch_date]]-Table1[[#This Row],[order_date]] &gt;=0, TRUE, FALSE)</f>
        <v>1</v>
      </c>
    </row>
    <row r="884" spans="1:11" x14ac:dyDescent="0.2">
      <c r="A884" t="s">
        <v>1215</v>
      </c>
      <c r="B884" t="s">
        <v>960</v>
      </c>
      <c r="C884" s="9">
        <v>45924</v>
      </c>
      <c r="D884" s="9">
        <v>45927</v>
      </c>
      <c r="E884" t="s">
        <v>110</v>
      </c>
      <c r="G884">
        <v>72</v>
      </c>
      <c r="H884">
        <v>223.67</v>
      </c>
      <c r="I884" t="s">
        <v>938</v>
      </c>
      <c r="K884" t="b">
        <f>IF(Table1[[#This Row],[dispatch_date]]-Table1[[#This Row],[order_date]] &gt;=0, TRUE, FALSE)</f>
        <v>1</v>
      </c>
    </row>
    <row r="885" spans="1:11" x14ac:dyDescent="0.2">
      <c r="A885" t="s">
        <v>1428</v>
      </c>
      <c r="B885" t="s">
        <v>1049</v>
      </c>
      <c r="C885" s="9">
        <v>45924</v>
      </c>
      <c r="D885" s="9">
        <v>45927</v>
      </c>
      <c r="E885" t="s">
        <v>99</v>
      </c>
      <c r="F885" t="s">
        <v>862</v>
      </c>
      <c r="G885">
        <v>12</v>
      </c>
      <c r="H885">
        <v>84.25</v>
      </c>
      <c r="I885" t="s">
        <v>938</v>
      </c>
      <c r="K885" t="b">
        <f>IF(Table1[[#This Row],[dispatch_date]]-Table1[[#This Row],[order_date]] &gt;=0, TRUE, FALSE)</f>
        <v>1</v>
      </c>
    </row>
    <row r="886" spans="1:11" x14ac:dyDescent="0.2">
      <c r="A886" t="s">
        <v>1896</v>
      </c>
      <c r="B886" t="s">
        <v>1031</v>
      </c>
      <c r="C886" s="9">
        <v>45924</v>
      </c>
      <c r="D886" s="9">
        <v>45925</v>
      </c>
      <c r="E886" t="s">
        <v>28</v>
      </c>
      <c r="F886" t="s">
        <v>435</v>
      </c>
      <c r="G886">
        <v>72</v>
      </c>
      <c r="H886">
        <v>413.28</v>
      </c>
      <c r="I886" t="s">
        <v>956</v>
      </c>
      <c r="K886" t="b">
        <f>IF(Table1[[#This Row],[dispatch_date]]-Table1[[#This Row],[order_date]] &gt;=0, TRUE, FALSE)</f>
        <v>1</v>
      </c>
    </row>
    <row r="887" spans="1:11" x14ac:dyDescent="0.2">
      <c r="A887" t="s">
        <v>2251</v>
      </c>
      <c r="B887" t="s">
        <v>1027</v>
      </c>
      <c r="C887" s="9">
        <v>45924</v>
      </c>
      <c r="D887" s="9">
        <v>45924</v>
      </c>
      <c r="E887" t="s">
        <v>44</v>
      </c>
      <c r="F887" t="s">
        <v>693</v>
      </c>
      <c r="G887">
        <v>48</v>
      </c>
      <c r="H887">
        <v>290.39999999999998</v>
      </c>
      <c r="I887" t="s">
        <v>916</v>
      </c>
      <c r="K887" t="b">
        <f>IF(Table1[[#This Row],[dispatch_date]]-Table1[[#This Row],[order_date]] &gt;=0, TRUE, FALSE)</f>
        <v>1</v>
      </c>
    </row>
    <row r="888" spans="1:11" x14ac:dyDescent="0.2">
      <c r="A888" t="s">
        <v>2679</v>
      </c>
      <c r="B888" t="s">
        <v>901</v>
      </c>
      <c r="C888" s="9">
        <v>45924</v>
      </c>
      <c r="D888" s="9"/>
      <c r="E888" t="s">
        <v>108</v>
      </c>
      <c r="F888" t="s">
        <v>566</v>
      </c>
      <c r="G888">
        <v>6</v>
      </c>
      <c r="H888">
        <v>42.84</v>
      </c>
      <c r="I888" t="s">
        <v>956</v>
      </c>
      <c r="K888" t="b">
        <f>IF(Table1[[#This Row],[dispatch_date]]-Table1[[#This Row],[order_date]] &gt;=0, TRUE, FALSE)</f>
        <v>0</v>
      </c>
    </row>
    <row r="889" spans="1:11" x14ac:dyDescent="0.2">
      <c r="A889" t="s">
        <v>1656</v>
      </c>
      <c r="B889" t="s">
        <v>965</v>
      </c>
      <c r="C889" s="9">
        <v>45925</v>
      </c>
      <c r="D889" s="9">
        <v>45928</v>
      </c>
      <c r="E889" t="s">
        <v>86</v>
      </c>
      <c r="F889" t="s">
        <v>785</v>
      </c>
      <c r="G889">
        <v>72</v>
      </c>
      <c r="H889">
        <v>229.68</v>
      </c>
      <c r="I889" t="s">
        <v>956</v>
      </c>
      <c r="K889" t="b">
        <f>IF(Table1[[#This Row],[dispatch_date]]-Table1[[#This Row],[order_date]] &gt;=0, TRUE, FALSE)</f>
        <v>1</v>
      </c>
    </row>
    <row r="890" spans="1:11" x14ac:dyDescent="0.2">
      <c r="A890" t="s">
        <v>1935</v>
      </c>
      <c r="B890" t="s">
        <v>1080</v>
      </c>
      <c r="C890" s="9">
        <v>45925</v>
      </c>
      <c r="D890" s="9">
        <v>45925</v>
      </c>
      <c r="E890" t="s">
        <v>48</v>
      </c>
      <c r="F890" t="s">
        <v>247</v>
      </c>
      <c r="G890">
        <v>72</v>
      </c>
      <c r="H890">
        <v>461.02</v>
      </c>
      <c r="I890" t="s">
        <v>916</v>
      </c>
      <c r="K890" t="b">
        <f>IF(Table1[[#This Row],[dispatch_date]]-Table1[[#This Row],[order_date]] &gt;=0, TRUE, FALSE)</f>
        <v>1</v>
      </c>
    </row>
    <row r="891" spans="1:11" x14ac:dyDescent="0.2">
      <c r="A891" t="s">
        <v>2410</v>
      </c>
      <c r="B891" t="s">
        <v>910</v>
      </c>
      <c r="C891" s="9">
        <v>45925</v>
      </c>
      <c r="D891" s="9">
        <v>45928</v>
      </c>
      <c r="E891" t="s">
        <v>114</v>
      </c>
      <c r="F891" t="s">
        <v>814</v>
      </c>
      <c r="G891">
        <v>72</v>
      </c>
      <c r="H891">
        <v>356.4</v>
      </c>
      <c r="I891" t="s">
        <v>912</v>
      </c>
      <c r="K891" t="b">
        <f>IF(Table1[[#This Row],[dispatch_date]]-Table1[[#This Row],[order_date]] &gt;=0, TRUE, FALSE)</f>
        <v>1</v>
      </c>
    </row>
    <row r="892" spans="1:11" x14ac:dyDescent="0.2">
      <c r="A892" t="s">
        <v>2088</v>
      </c>
      <c r="B892" t="s">
        <v>1024</v>
      </c>
      <c r="C892" s="9">
        <v>45926</v>
      </c>
      <c r="D892" s="9">
        <v>45928</v>
      </c>
      <c r="E892" t="s">
        <v>67</v>
      </c>
      <c r="G892">
        <v>48</v>
      </c>
      <c r="H892">
        <v>241.68</v>
      </c>
      <c r="I892" t="s">
        <v>938</v>
      </c>
      <c r="K892" t="b">
        <f>IF(Table1[[#This Row],[dispatch_date]]-Table1[[#This Row],[order_date]] &gt;=0, TRUE, FALSE)</f>
        <v>1</v>
      </c>
    </row>
    <row r="893" spans="1:11" x14ac:dyDescent="0.2">
      <c r="A893" t="s">
        <v>2534</v>
      </c>
      <c r="B893" t="s">
        <v>1061</v>
      </c>
      <c r="C893" s="9">
        <v>45926</v>
      </c>
      <c r="D893" s="9">
        <v>45926</v>
      </c>
      <c r="E893" t="s">
        <v>95</v>
      </c>
      <c r="G893">
        <v>24</v>
      </c>
      <c r="H893">
        <v>94.56</v>
      </c>
      <c r="I893" t="s">
        <v>912</v>
      </c>
      <c r="K893" t="b">
        <f>IF(Table1[[#This Row],[dispatch_date]]-Table1[[#This Row],[order_date]] &gt;=0, TRUE, FALSE)</f>
        <v>1</v>
      </c>
    </row>
    <row r="894" spans="1:11" x14ac:dyDescent="0.2">
      <c r="A894" t="s">
        <v>2698</v>
      </c>
      <c r="B894" t="s">
        <v>1074</v>
      </c>
      <c r="C894" s="9">
        <v>45926</v>
      </c>
      <c r="D894" s="9">
        <v>45929</v>
      </c>
      <c r="E894" t="s">
        <v>71</v>
      </c>
      <c r="F894" t="s">
        <v>495</v>
      </c>
      <c r="G894">
        <v>36</v>
      </c>
      <c r="H894">
        <v>325.24</v>
      </c>
      <c r="I894" t="s">
        <v>916</v>
      </c>
      <c r="K894" t="b">
        <f>IF(Table1[[#This Row],[dispatch_date]]-Table1[[#This Row],[order_date]] &gt;=0, TRUE, FALSE)</f>
        <v>1</v>
      </c>
    </row>
    <row r="895" spans="1:11" x14ac:dyDescent="0.2">
      <c r="A895" t="s">
        <v>1413</v>
      </c>
      <c r="B895" t="s">
        <v>929</v>
      </c>
      <c r="C895" s="9">
        <v>45927</v>
      </c>
      <c r="D895" s="9">
        <v>45927</v>
      </c>
      <c r="E895" t="s">
        <v>105</v>
      </c>
      <c r="F895" t="s">
        <v>452</v>
      </c>
      <c r="G895">
        <v>12</v>
      </c>
      <c r="H895">
        <v>71.400000000000006</v>
      </c>
      <c r="I895" t="s">
        <v>912</v>
      </c>
      <c r="K895" t="b">
        <f>IF(Table1[[#This Row],[dispatch_date]]-Table1[[#This Row],[order_date]] &gt;=0, TRUE, FALSE)</f>
        <v>1</v>
      </c>
    </row>
    <row r="896" spans="1:11" x14ac:dyDescent="0.2">
      <c r="A896" t="s">
        <v>2140</v>
      </c>
      <c r="B896" t="s">
        <v>1061</v>
      </c>
      <c r="C896" s="9">
        <v>45927</v>
      </c>
      <c r="D896" s="9">
        <v>45927</v>
      </c>
      <c r="E896" t="s">
        <v>108</v>
      </c>
      <c r="F896" t="s">
        <v>564</v>
      </c>
      <c r="G896">
        <v>72</v>
      </c>
      <c r="H896">
        <v>514.08000000000004</v>
      </c>
      <c r="I896" t="s">
        <v>912</v>
      </c>
      <c r="K896" t="b">
        <f>IF(Table1[[#This Row],[dispatch_date]]-Table1[[#This Row],[order_date]] &gt;=0, TRUE, FALSE)</f>
        <v>1</v>
      </c>
    </row>
    <row r="897" spans="1:11" x14ac:dyDescent="0.2">
      <c r="A897" t="s">
        <v>2760</v>
      </c>
      <c r="B897" t="s">
        <v>1037</v>
      </c>
      <c r="C897" s="9">
        <v>45927</v>
      </c>
      <c r="D897" s="9">
        <v>45930</v>
      </c>
      <c r="E897" t="s">
        <v>33</v>
      </c>
      <c r="F897" t="s">
        <v>478</v>
      </c>
      <c r="G897">
        <v>24</v>
      </c>
      <c r="H897">
        <v>50.39</v>
      </c>
      <c r="I897" t="s">
        <v>938</v>
      </c>
      <c r="K897" t="b">
        <f>IF(Table1[[#This Row],[dispatch_date]]-Table1[[#This Row],[order_date]] &gt;=0, TRUE, FALSE)</f>
        <v>1</v>
      </c>
    </row>
    <row r="898" spans="1:11" x14ac:dyDescent="0.2">
      <c r="A898" t="s">
        <v>1274</v>
      </c>
      <c r="B898" t="s">
        <v>991</v>
      </c>
      <c r="C898" s="9">
        <v>45928</v>
      </c>
      <c r="D898" s="9">
        <v>45929</v>
      </c>
      <c r="E898" t="s">
        <v>65</v>
      </c>
      <c r="F898" t="s">
        <v>464</v>
      </c>
      <c r="G898">
        <v>12</v>
      </c>
      <c r="H898">
        <v>159.24</v>
      </c>
      <c r="I898" t="s">
        <v>956</v>
      </c>
      <c r="K898" t="b">
        <f>IF(Table1[[#This Row],[dispatch_date]]-Table1[[#This Row],[order_date]] &gt;=0, TRUE, FALSE)</f>
        <v>1</v>
      </c>
    </row>
    <row r="899" spans="1:11" x14ac:dyDescent="0.2">
      <c r="A899" t="s">
        <v>2733</v>
      </c>
      <c r="B899" t="s">
        <v>1045</v>
      </c>
      <c r="C899" s="9">
        <v>45928</v>
      </c>
      <c r="D899" s="9">
        <v>45929</v>
      </c>
      <c r="E899" t="s">
        <v>19</v>
      </c>
      <c r="F899" t="s">
        <v>488</v>
      </c>
      <c r="G899">
        <v>48</v>
      </c>
      <c r="H899">
        <v>97.44</v>
      </c>
      <c r="I899" t="s">
        <v>912</v>
      </c>
      <c r="K899" t="b">
        <f>IF(Table1[[#This Row],[dispatch_date]]-Table1[[#This Row],[order_date]] &gt;=0, TRUE, FALSE)</f>
        <v>1</v>
      </c>
    </row>
    <row r="900" spans="1:11" x14ac:dyDescent="0.2">
      <c r="A900" t="s">
        <v>2803</v>
      </c>
      <c r="B900" t="s">
        <v>962</v>
      </c>
      <c r="C900" s="9">
        <v>45928</v>
      </c>
      <c r="D900" s="9">
        <v>45930</v>
      </c>
      <c r="E900" t="s">
        <v>44</v>
      </c>
      <c r="F900" t="s">
        <v>511</v>
      </c>
      <c r="G900">
        <v>12</v>
      </c>
      <c r="H900">
        <v>72.599999999999994</v>
      </c>
      <c r="I900" t="s">
        <v>956</v>
      </c>
      <c r="K900" t="b">
        <f>IF(Table1[[#This Row],[dispatch_date]]-Table1[[#This Row],[order_date]] &gt;=0, TRUE, FALSE)</f>
        <v>1</v>
      </c>
    </row>
    <row r="901" spans="1:11" x14ac:dyDescent="0.2">
      <c r="A901" t="s">
        <v>2816</v>
      </c>
      <c r="B901" t="s">
        <v>983</v>
      </c>
      <c r="C901" s="9">
        <v>45928</v>
      </c>
      <c r="D901" s="9">
        <v>45928</v>
      </c>
      <c r="E901" t="s">
        <v>63</v>
      </c>
      <c r="F901" t="s">
        <v>608</v>
      </c>
      <c r="G901">
        <v>48</v>
      </c>
      <c r="H901">
        <v>470.4</v>
      </c>
      <c r="I901" t="s">
        <v>916</v>
      </c>
      <c r="K901" t="b">
        <f>IF(Table1[[#This Row],[dispatch_date]]-Table1[[#This Row],[order_date]] &gt;=0, TRUE, FALSE)</f>
        <v>1</v>
      </c>
    </row>
    <row r="902" spans="1:11" x14ac:dyDescent="0.2">
      <c r="A902" t="s">
        <v>1294</v>
      </c>
      <c r="B902" t="s">
        <v>1042</v>
      </c>
      <c r="C902" s="9">
        <v>45929</v>
      </c>
      <c r="D902" s="9">
        <v>45931</v>
      </c>
      <c r="E902" t="s">
        <v>22</v>
      </c>
      <c r="F902" t="s">
        <v>819</v>
      </c>
      <c r="G902">
        <v>36</v>
      </c>
      <c r="H902">
        <v>178.92</v>
      </c>
      <c r="I902" t="s">
        <v>1079</v>
      </c>
      <c r="K902" t="b">
        <f>IF(Table1[[#This Row],[dispatch_date]]-Table1[[#This Row],[order_date]] &gt;=0, TRUE, FALSE)</f>
        <v>1</v>
      </c>
    </row>
    <row r="903" spans="1:11" x14ac:dyDescent="0.2">
      <c r="A903" t="s">
        <v>2563</v>
      </c>
      <c r="B903" t="s">
        <v>922</v>
      </c>
      <c r="C903" s="9">
        <v>45929</v>
      </c>
      <c r="D903" s="9">
        <v>45931</v>
      </c>
      <c r="E903" t="s">
        <v>105</v>
      </c>
      <c r="F903" t="s">
        <v>438</v>
      </c>
      <c r="G903">
        <v>12</v>
      </c>
      <c r="H903">
        <v>71.400000000000006</v>
      </c>
      <c r="I903" t="s">
        <v>912</v>
      </c>
      <c r="K903" t="b">
        <f>IF(Table1[[#This Row],[dispatch_date]]-Table1[[#This Row],[order_date]] &gt;=0, TRUE, FALSE)</f>
        <v>1</v>
      </c>
    </row>
    <row r="904" spans="1:11" x14ac:dyDescent="0.2">
      <c r="A904" t="s">
        <v>1263</v>
      </c>
      <c r="B904" t="s">
        <v>993</v>
      </c>
      <c r="C904" s="9">
        <v>45930</v>
      </c>
      <c r="D904" s="9">
        <v>45930</v>
      </c>
      <c r="E904" t="s">
        <v>65</v>
      </c>
      <c r="F904" t="s">
        <v>508</v>
      </c>
      <c r="G904">
        <v>24</v>
      </c>
      <c r="H904">
        <v>318.48</v>
      </c>
      <c r="I904" t="s">
        <v>938</v>
      </c>
      <c r="K904" t="b">
        <f>IF(Table1[[#This Row],[dispatch_date]]-Table1[[#This Row],[order_date]] &gt;=0, TRUE, FALSE)</f>
        <v>1</v>
      </c>
    </row>
    <row r="905" spans="1:11" x14ac:dyDescent="0.2">
      <c r="A905" t="s">
        <v>1613</v>
      </c>
      <c r="B905" t="s">
        <v>1074</v>
      </c>
      <c r="C905" s="9">
        <v>45930</v>
      </c>
      <c r="D905" s="9">
        <v>45931</v>
      </c>
      <c r="E905" t="s">
        <v>99</v>
      </c>
      <c r="F905" t="s">
        <v>862</v>
      </c>
      <c r="G905">
        <v>24</v>
      </c>
      <c r="H905">
        <v>177.36</v>
      </c>
      <c r="I905" t="s">
        <v>916</v>
      </c>
      <c r="J905" t="s">
        <v>3134</v>
      </c>
      <c r="K905" t="b">
        <f>IF(Table1[[#This Row],[dispatch_date]]-Table1[[#This Row],[order_date]] &gt;=0, TRUE, FALSE)</f>
        <v>1</v>
      </c>
    </row>
    <row r="906" spans="1:11" x14ac:dyDescent="0.2">
      <c r="A906" t="s">
        <v>2415</v>
      </c>
      <c r="B906" t="s">
        <v>991</v>
      </c>
      <c r="C906" s="9">
        <v>45930</v>
      </c>
      <c r="D906" s="9">
        <v>45931</v>
      </c>
      <c r="E906" t="s">
        <v>103</v>
      </c>
      <c r="F906" t="s">
        <v>887</v>
      </c>
      <c r="G906">
        <v>24</v>
      </c>
      <c r="H906">
        <v>164.39</v>
      </c>
      <c r="I906" t="s">
        <v>956</v>
      </c>
      <c r="K906" t="b">
        <f>IF(Table1[[#This Row],[dispatch_date]]-Table1[[#This Row],[order_date]] &gt;=0, TRUE, FALSE)</f>
        <v>1</v>
      </c>
    </row>
    <row r="907" spans="1:11" x14ac:dyDescent="0.2">
      <c r="A907" t="s">
        <v>1586</v>
      </c>
      <c r="B907" t="s">
        <v>1040</v>
      </c>
      <c r="C907" s="9">
        <v>45931</v>
      </c>
      <c r="D907" s="9">
        <v>45932</v>
      </c>
      <c r="E907" t="s">
        <v>95</v>
      </c>
      <c r="G907">
        <v>6</v>
      </c>
      <c r="H907">
        <v>22.46</v>
      </c>
      <c r="I907" t="s">
        <v>916</v>
      </c>
      <c r="K907" t="b">
        <f>IF(Table1[[#This Row],[dispatch_date]]-Table1[[#This Row],[order_date]] &gt;=0, TRUE, FALSE)</f>
        <v>1</v>
      </c>
    </row>
    <row r="908" spans="1:11" x14ac:dyDescent="0.2">
      <c r="A908" t="s">
        <v>2014</v>
      </c>
      <c r="B908" t="s">
        <v>1067</v>
      </c>
      <c r="C908" s="9">
        <v>45931</v>
      </c>
      <c r="D908" s="9">
        <v>45932</v>
      </c>
      <c r="E908" t="s">
        <v>17</v>
      </c>
      <c r="F908" t="s">
        <v>699</v>
      </c>
      <c r="G908">
        <v>24</v>
      </c>
      <c r="H908">
        <v>143.76</v>
      </c>
      <c r="I908" t="s">
        <v>912</v>
      </c>
      <c r="K908" t="b">
        <f>IF(Table1[[#This Row],[dispatch_date]]-Table1[[#This Row],[order_date]] &gt;=0, TRUE, FALSE)</f>
        <v>1</v>
      </c>
    </row>
    <row r="909" spans="1:11" x14ac:dyDescent="0.2">
      <c r="A909" t="s">
        <v>2852</v>
      </c>
      <c r="B909" t="s">
        <v>932</v>
      </c>
      <c r="C909" s="9">
        <v>45931</v>
      </c>
      <c r="D909" s="9">
        <v>45934</v>
      </c>
      <c r="E909" t="s">
        <v>50</v>
      </c>
      <c r="F909" t="s">
        <v>389</v>
      </c>
      <c r="G909">
        <v>48</v>
      </c>
      <c r="H909">
        <v>292.8</v>
      </c>
      <c r="I909" t="s">
        <v>956</v>
      </c>
      <c r="K909" t="b">
        <f>IF(Table1[[#This Row],[dispatch_date]]-Table1[[#This Row],[order_date]] &gt;=0, TRUE, FALSE)</f>
        <v>1</v>
      </c>
    </row>
    <row r="910" spans="1:11" x14ac:dyDescent="0.2">
      <c r="A910" t="s">
        <v>1646</v>
      </c>
      <c r="B910" t="s">
        <v>948</v>
      </c>
      <c r="C910" s="9">
        <v>45932</v>
      </c>
      <c r="D910" s="9">
        <v>45933</v>
      </c>
      <c r="E910" t="s">
        <v>105</v>
      </c>
      <c r="F910" t="s">
        <v>707</v>
      </c>
      <c r="G910">
        <v>24</v>
      </c>
      <c r="H910">
        <v>142.80000000000001</v>
      </c>
      <c r="I910" t="s">
        <v>938</v>
      </c>
      <c r="K910" t="b">
        <f>IF(Table1[[#This Row],[dispatch_date]]-Table1[[#This Row],[order_date]] &gt;=0, TRUE, FALSE)</f>
        <v>1</v>
      </c>
    </row>
    <row r="911" spans="1:11" x14ac:dyDescent="0.2">
      <c r="A911" t="s">
        <v>1737</v>
      </c>
      <c r="B911" t="s">
        <v>989</v>
      </c>
      <c r="C911" s="9">
        <v>45932</v>
      </c>
      <c r="D911" s="9">
        <v>45935</v>
      </c>
      <c r="E911" t="s">
        <v>101</v>
      </c>
      <c r="F911" t="s">
        <v>573</v>
      </c>
      <c r="G911">
        <v>36</v>
      </c>
      <c r="H911">
        <v>120.96</v>
      </c>
      <c r="I911" t="s">
        <v>916</v>
      </c>
      <c r="K911" t="b">
        <f>IF(Table1[[#This Row],[dispatch_date]]-Table1[[#This Row],[order_date]] &gt;=0, TRUE, FALSE)</f>
        <v>1</v>
      </c>
    </row>
    <row r="912" spans="1:11" x14ac:dyDescent="0.2">
      <c r="A912" t="s">
        <v>2254</v>
      </c>
      <c r="B912" t="s">
        <v>1021</v>
      </c>
      <c r="C912" s="9">
        <v>45932</v>
      </c>
      <c r="D912" s="9">
        <v>45934</v>
      </c>
      <c r="E912" t="s">
        <v>8</v>
      </c>
      <c r="F912" t="s">
        <v>252</v>
      </c>
      <c r="G912">
        <v>12</v>
      </c>
      <c r="H912">
        <v>68.739999999999995</v>
      </c>
      <c r="I912" t="s">
        <v>956</v>
      </c>
      <c r="K912" t="b">
        <f>IF(Table1[[#This Row],[dispatch_date]]-Table1[[#This Row],[order_date]] &gt;=0, TRUE, FALSE)</f>
        <v>1</v>
      </c>
    </row>
    <row r="913" spans="1:11" x14ac:dyDescent="0.2">
      <c r="A913" t="s">
        <v>2288</v>
      </c>
      <c r="B913" t="s">
        <v>985</v>
      </c>
      <c r="C913" s="9">
        <v>45932</v>
      </c>
      <c r="D913" s="9">
        <v>45935</v>
      </c>
      <c r="E913" t="s">
        <v>114</v>
      </c>
      <c r="F913" t="s">
        <v>654</v>
      </c>
      <c r="G913">
        <v>6</v>
      </c>
      <c r="H913">
        <v>29.7</v>
      </c>
      <c r="I913" t="s">
        <v>1079</v>
      </c>
      <c r="K913" t="b">
        <f>IF(Table1[[#This Row],[dispatch_date]]-Table1[[#This Row],[order_date]] &gt;=0, TRUE, FALSE)</f>
        <v>1</v>
      </c>
    </row>
    <row r="914" spans="1:11" x14ac:dyDescent="0.2">
      <c r="A914" t="s">
        <v>2408</v>
      </c>
      <c r="B914" t="s">
        <v>929</v>
      </c>
      <c r="C914" s="9">
        <v>45932</v>
      </c>
      <c r="D914" s="9">
        <v>45935</v>
      </c>
      <c r="E914" t="s">
        <v>118</v>
      </c>
      <c r="G914">
        <v>48</v>
      </c>
      <c r="H914">
        <v>630.72</v>
      </c>
      <c r="I914" t="s">
        <v>912</v>
      </c>
      <c r="K914" t="b">
        <f>IF(Table1[[#This Row],[dispatch_date]]-Table1[[#This Row],[order_date]] &gt;=0, TRUE, FALSE)</f>
        <v>1</v>
      </c>
    </row>
    <row r="915" spans="1:11" x14ac:dyDescent="0.2">
      <c r="A915" t="s">
        <v>1844</v>
      </c>
      <c r="B915" t="s">
        <v>1080</v>
      </c>
      <c r="C915" s="9">
        <v>45933</v>
      </c>
      <c r="D915" s="9">
        <v>45933</v>
      </c>
      <c r="E915" t="s">
        <v>42</v>
      </c>
      <c r="F915" t="s">
        <v>282</v>
      </c>
      <c r="G915">
        <v>36</v>
      </c>
      <c r="H915">
        <v>117.72</v>
      </c>
      <c r="I915" t="s">
        <v>916</v>
      </c>
      <c r="K915" t="b">
        <f>IF(Table1[[#This Row],[dispatch_date]]-Table1[[#This Row],[order_date]] &gt;=0, TRUE, FALSE)</f>
        <v>1</v>
      </c>
    </row>
    <row r="916" spans="1:11" x14ac:dyDescent="0.2">
      <c r="A916" t="s">
        <v>2811</v>
      </c>
      <c r="B916" t="s">
        <v>991</v>
      </c>
      <c r="C916" s="9">
        <v>45726</v>
      </c>
      <c r="D916" s="9">
        <v>45728</v>
      </c>
      <c r="E916" t="s">
        <v>78</v>
      </c>
      <c r="F916" t="s">
        <v>273</v>
      </c>
      <c r="G916">
        <v>24</v>
      </c>
      <c r="H916">
        <v>76.8</v>
      </c>
      <c r="I916" t="s">
        <v>956</v>
      </c>
      <c r="J916" t="s">
        <v>3134</v>
      </c>
      <c r="K916" t="b">
        <f>IF(Table1[[#This Row],[dispatch_date]]-Table1[[#This Row],[order_date]] &gt;=0, TRUE, FALSE)</f>
        <v>1</v>
      </c>
    </row>
    <row r="917" spans="1:11" x14ac:dyDescent="0.2">
      <c r="A917" t="s">
        <v>1808</v>
      </c>
      <c r="B917" t="s">
        <v>1042</v>
      </c>
      <c r="C917" s="9">
        <v>45934</v>
      </c>
      <c r="D917" s="9">
        <v>45937</v>
      </c>
      <c r="E917" t="s">
        <v>103</v>
      </c>
      <c r="G917">
        <v>12</v>
      </c>
      <c r="H917">
        <v>82.19</v>
      </c>
      <c r="I917" t="s">
        <v>912</v>
      </c>
      <c r="K917" t="b">
        <f>IF(Table1[[#This Row],[dispatch_date]]-Table1[[#This Row],[order_date]] &gt;=0, TRUE, FALSE)</f>
        <v>1</v>
      </c>
    </row>
    <row r="918" spans="1:11" x14ac:dyDescent="0.2">
      <c r="A918" t="s">
        <v>1893</v>
      </c>
      <c r="B918" t="s">
        <v>1011</v>
      </c>
      <c r="C918" s="9">
        <v>45934</v>
      </c>
      <c r="D918" s="9">
        <v>45934</v>
      </c>
      <c r="E918" t="s">
        <v>28</v>
      </c>
      <c r="F918" t="s">
        <v>514</v>
      </c>
      <c r="G918">
        <v>24</v>
      </c>
      <c r="H918">
        <v>137.76</v>
      </c>
      <c r="I918" t="s">
        <v>916</v>
      </c>
      <c r="K918" t="b">
        <f>IF(Table1[[#This Row],[dispatch_date]]-Table1[[#This Row],[order_date]] &gt;=0, TRUE, FALSE)</f>
        <v>1</v>
      </c>
    </row>
    <row r="919" spans="1:11" x14ac:dyDescent="0.2">
      <c r="A919" t="s">
        <v>2489</v>
      </c>
      <c r="B919" t="s">
        <v>985</v>
      </c>
      <c r="C919" s="9">
        <v>45934</v>
      </c>
      <c r="D919" s="9">
        <v>45934</v>
      </c>
      <c r="E919" t="s">
        <v>108</v>
      </c>
      <c r="G919">
        <v>24</v>
      </c>
      <c r="H919">
        <v>162.79</v>
      </c>
      <c r="I919" t="s">
        <v>1079</v>
      </c>
      <c r="K919" t="b">
        <f>IF(Table1[[#This Row],[dispatch_date]]-Table1[[#This Row],[order_date]] &gt;=0, TRUE, FALSE)</f>
        <v>1</v>
      </c>
    </row>
    <row r="920" spans="1:11" x14ac:dyDescent="0.2">
      <c r="A920" t="s">
        <v>1376</v>
      </c>
      <c r="B920" t="s">
        <v>991</v>
      </c>
      <c r="C920" s="9">
        <v>45935</v>
      </c>
      <c r="D920" s="9">
        <v>45937</v>
      </c>
      <c r="E920" t="s">
        <v>78</v>
      </c>
      <c r="F920" t="s">
        <v>273</v>
      </c>
      <c r="G920">
        <v>24</v>
      </c>
      <c r="H920">
        <v>76.8</v>
      </c>
      <c r="I920" t="s">
        <v>938</v>
      </c>
      <c r="K920" t="b">
        <f>IF(Table1[[#This Row],[dispatch_date]]-Table1[[#This Row],[order_date]] &gt;=0, TRUE, FALSE)</f>
        <v>1</v>
      </c>
    </row>
    <row r="921" spans="1:11" x14ac:dyDescent="0.2">
      <c r="A921" t="s">
        <v>1544</v>
      </c>
      <c r="B921" t="s">
        <v>1067</v>
      </c>
      <c r="C921" s="9">
        <v>45935</v>
      </c>
      <c r="D921" s="9">
        <v>45938</v>
      </c>
      <c r="E921" t="s">
        <v>19</v>
      </c>
      <c r="G921">
        <v>24</v>
      </c>
      <c r="H921">
        <v>48.72</v>
      </c>
      <c r="I921" t="s">
        <v>956</v>
      </c>
      <c r="K921" t="b">
        <f>IF(Table1[[#This Row],[dispatch_date]]-Table1[[#This Row],[order_date]] &gt;=0, TRUE, FALSE)</f>
        <v>1</v>
      </c>
    </row>
    <row r="922" spans="1:11" x14ac:dyDescent="0.2">
      <c r="A922" t="s">
        <v>1717</v>
      </c>
      <c r="B922" t="s">
        <v>1029</v>
      </c>
      <c r="C922" s="9">
        <v>45935</v>
      </c>
      <c r="D922" s="9">
        <v>45936</v>
      </c>
      <c r="E922" t="s">
        <v>38</v>
      </c>
      <c r="F922" t="s">
        <v>889</v>
      </c>
      <c r="G922">
        <v>36</v>
      </c>
      <c r="H922">
        <v>183.6</v>
      </c>
      <c r="I922" t="s">
        <v>938</v>
      </c>
      <c r="K922" t="b">
        <f>IF(Table1[[#This Row],[dispatch_date]]-Table1[[#This Row],[order_date]] &gt;=0, TRUE, FALSE)</f>
        <v>1</v>
      </c>
    </row>
    <row r="923" spans="1:11" x14ac:dyDescent="0.2">
      <c r="A923" t="s">
        <v>1752</v>
      </c>
      <c r="B923" t="s">
        <v>987</v>
      </c>
      <c r="C923" s="9">
        <v>45935</v>
      </c>
      <c r="D923" s="9">
        <v>45936</v>
      </c>
      <c r="E923" t="s">
        <v>19</v>
      </c>
      <c r="G923">
        <v>36</v>
      </c>
      <c r="H923">
        <v>73.08</v>
      </c>
      <c r="I923" t="s">
        <v>1079</v>
      </c>
      <c r="J923" t="s">
        <v>3134</v>
      </c>
      <c r="K923" t="b">
        <f>IF(Table1[[#This Row],[dispatch_date]]-Table1[[#This Row],[order_date]] &gt;=0, TRUE, FALSE)</f>
        <v>1</v>
      </c>
    </row>
    <row r="924" spans="1:11" x14ac:dyDescent="0.2">
      <c r="A924" t="s">
        <v>2647</v>
      </c>
      <c r="B924" t="s">
        <v>942</v>
      </c>
      <c r="C924" s="9">
        <v>45935</v>
      </c>
      <c r="D924" s="9">
        <v>45938</v>
      </c>
      <c r="E924" t="s">
        <v>86</v>
      </c>
      <c r="F924" t="s">
        <v>785</v>
      </c>
      <c r="G924">
        <v>12</v>
      </c>
      <c r="H924">
        <v>36.369999999999997</v>
      </c>
      <c r="I924" t="s">
        <v>927</v>
      </c>
      <c r="K924" t="b">
        <f>IF(Table1[[#This Row],[dispatch_date]]-Table1[[#This Row],[order_date]] &gt;=0, TRUE, FALSE)</f>
        <v>1</v>
      </c>
    </row>
    <row r="925" spans="1:11" x14ac:dyDescent="0.2">
      <c r="A925" t="s">
        <v>1185</v>
      </c>
      <c r="B925" t="s">
        <v>989</v>
      </c>
      <c r="C925" s="9">
        <v>45936</v>
      </c>
      <c r="D925" s="9">
        <v>45939</v>
      </c>
      <c r="E925" t="s">
        <v>19</v>
      </c>
      <c r="F925" t="s">
        <v>851</v>
      </c>
      <c r="G925">
        <v>24</v>
      </c>
      <c r="H925">
        <v>48.72</v>
      </c>
      <c r="I925" t="s">
        <v>916</v>
      </c>
      <c r="K925" t="b">
        <f>IF(Table1[[#This Row],[dispatch_date]]-Table1[[#This Row],[order_date]] &gt;=0, TRUE, FALSE)</f>
        <v>1</v>
      </c>
    </row>
    <row r="926" spans="1:11" x14ac:dyDescent="0.2">
      <c r="A926" t="s">
        <v>1197</v>
      </c>
      <c r="B926" t="s">
        <v>901</v>
      </c>
      <c r="C926" s="9">
        <v>45936</v>
      </c>
      <c r="D926" s="9">
        <v>45939</v>
      </c>
      <c r="E926" t="s">
        <v>17</v>
      </c>
      <c r="F926" t="s">
        <v>699</v>
      </c>
      <c r="G926">
        <v>24</v>
      </c>
      <c r="H926">
        <v>143.76</v>
      </c>
      <c r="I926" t="s">
        <v>956</v>
      </c>
      <c r="K926" t="b">
        <f>IF(Table1[[#This Row],[dispatch_date]]-Table1[[#This Row],[order_date]] &gt;=0, TRUE, FALSE)</f>
        <v>1</v>
      </c>
    </row>
    <row r="927" spans="1:11" x14ac:dyDescent="0.2">
      <c r="A927" t="s">
        <v>1665</v>
      </c>
      <c r="B927" t="s">
        <v>1056</v>
      </c>
      <c r="C927" s="9">
        <v>45936</v>
      </c>
      <c r="D927" s="9"/>
      <c r="E927" t="s">
        <v>14</v>
      </c>
      <c r="F927" t="s">
        <v>375</v>
      </c>
      <c r="G927">
        <v>72</v>
      </c>
      <c r="H927">
        <v>262.8</v>
      </c>
      <c r="I927" t="s">
        <v>912</v>
      </c>
      <c r="K927" t="b">
        <f>IF(Table1[[#This Row],[dispatch_date]]-Table1[[#This Row],[order_date]] &gt;=0, TRUE, FALSE)</f>
        <v>0</v>
      </c>
    </row>
    <row r="928" spans="1:11" x14ac:dyDescent="0.2">
      <c r="A928" t="s">
        <v>1909</v>
      </c>
      <c r="B928" t="s">
        <v>983</v>
      </c>
      <c r="C928" s="9">
        <v>45937</v>
      </c>
      <c r="D928" s="9">
        <v>45939</v>
      </c>
      <c r="E928" t="s">
        <v>127</v>
      </c>
      <c r="F928" t="s">
        <v>683</v>
      </c>
      <c r="G928">
        <v>24</v>
      </c>
      <c r="H928">
        <v>98.4</v>
      </c>
      <c r="I928" t="s">
        <v>916</v>
      </c>
      <c r="K928" t="b">
        <f>IF(Table1[[#This Row],[dispatch_date]]-Table1[[#This Row],[order_date]] &gt;=0, TRUE, FALSE)</f>
        <v>1</v>
      </c>
    </row>
    <row r="929" spans="1:11" x14ac:dyDescent="0.2">
      <c r="A929" t="s">
        <v>1999</v>
      </c>
      <c r="B929" t="s">
        <v>1052</v>
      </c>
      <c r="C929" s="9">
        <v>45937</v>
      </c>
      <c r="D929" s="9">
        <v>45940</v>
      </c>
      <c r="E929" t="s">
        <v>38</v>
      </c>
      <c r="G929">
        <v>24</v>
      </c>
      <c r="H929">
        <v>122.4</v>
      </c>
      <c r="I929" t="s">
        <v>956</v>
      </c>
      <c r="K929" t="b">
        <f>IF(Table1[[#This Row],[dispatch_date]]-Table1[[#This Row],[order_date]] &gt;=0, TRUE, FALSE)</f>
        <v>1</v>
      </c>
    </row>
    <row r="930" spans="1:11" x14ac:dyDescent="0.2">
      <c r="A930" t="s">
        <v>2045</v>
      </c>
      <c r="B930" t="s">
        <v>993</v>
      </c>
      <c r="C930" s="9">
        <v>45937</v>
      </c>
      <c r="D930" s="9">
        <v>45939</v>
      </c>
      <c r="E930" t="s">
        <v>54</v>
      </c>
      <c r="G930">
        <v>24</v>
      </c>
      <c r="H930">
        <v>106.32</v>
      </c>
      <c r="I930" t="s">
        <v>938</v>
      </c>
      <c r="K930" t="b">
        <f>IF(Table1[[#This Row],[dispatch_date]]-Table1[[#This Row],[order_date]] &gt;=0, TRUE, FALSE)</f>
        <v>1</v>
      </c>
    </row>
    <row r="931" spans="1:11" x14ac:dyDescent="0.2">
      <c r="A931" t="s">
        <v>2543</v>
      </c>
      <c r="B931" t="s">
        <v>991</v>
      </c>
      <c r="C931" s="9">
        <v>45937</v>
      </c>
      <c r="D931" s="9">
        <v>45939</v>
      </c>
      <c r="E931" t="s">
        <v>38</v>
      </c>
      <c r="F931" t="s">
        <v>889</v>
      </c>
      <c r="G931">
        <v>72</v>
      </c>
      <c r="H931">
        <v>367.2</v>
      </c>
      <c r="I931" t="s">
        <v>956</v>
      </c>
      <c r="K931" t="b">
        <f>IF(Table1[[#This Row],[dispatch_date]]-Table1[[#This Row],[order_date]] &gt;=0, TRUE, FALSE)</f>
        <v>1</v>
      </c>
    </row>
    <row r="932" spans="1:11" x14ac:dyDescent="0.2">
      <c r="A932" t="s">
        <v>2829</v>
      </c>
      <c r="B932" t="s">
        <v>945</v>
      </c>
      <c r="C932" s="9">
        <v>45937</v>
      </c>
      <c r="D932" s="9">
        <v>45940</v>
      </c>
      <c r="E932" t="s">
        <v>108</v>
      </c>
      <c r="F932" t="s">
        <v>821</v>
      </c>
      <c r="G932">
        <v>48</v>
      </c>
      <c r="H932">
        <v>325.58</v>
      </c>
      <c r="I932" t="s">
        <v>938</v>
      </c>
      <c r="K932" t="b">
        <f>IF(Table1[[#This Row],[dispatch_date]]-Table1[[#This Row],[order_date]] &gt;=0, TRUE, FALSE)</f>
        <v>1</v>
      </c>
    </row>
    <row r="933" spans="1:11" x14ac:dyDescent="0.2">
      <c r="A933" t="s">
        <v>1659</v>
      </c>
      <c r="B933" t="s">
        <v>1034</v>
      </c>
      <c r="C933" s="9">
        <v>45938</v>
      </c>
      <c r="D933" s="9">
        <v>45938</v>
      </c>
      <c r="E933" t="s">
        <v>17</v>
      </c>
      <c r="F933" t="s">
        <v>585</v>
      </c>
      <c r="G933">
        <v>48</v>
      </c>
      <c r="H933">
        <v>287.52</v>
      </c>
      <c r="I933" t="s">
        <v>938</v>
      </c>
      <c r="K933" t="b">
        <f>IF(Table1[[#This Row],[dispatch_date]]-Table1[[#This Row],[order_date]] &gt;=0, TRUE, FALSE)</f>
        <v>1</v>
      </c>
    </row>
    <row r="934" spans="1:11" x14ac:dyDescent="0.2">
      <c r="A934" t="s">
        <v>1817</v>
      </c>
      <c r="B934" t="s">
        <v>1048</v>
      </c>
      <c r="C934" s="9">
        <v>45938</v>
      </c>
      <c r="D934" s="9">
        <v>45939</v>
      </c>
      <c r="E934" t="s">
        <v>36</v>
      </c>
      <c r="F934" t="s">
        <v>291</v>
      </c>
      <c r="G934">
        <v>6</v>
      </c>
      <c r="H934">
        <v>10.26</v>
      </c>
      <c r="I934" t="s">
        <v>912</v>
      </c>
      <c r="K934" t="b">
        <f>IF(Table1[[#This Row],[dispatch_date]]-Table1[[#This Row],[order_date]] &gt;=0, TRUE, FALSE)</f>
        <v>1</v>
      </c>
    </row>
    <row r="935" spans="1:11" x14ac:dyDescent="0.2">
      <c r="A935" t="s">
        <v>1857</v>
      </c>
      <c r="B935" t="s">
        <v>1046</v>
      </c>
      <c r="C935" s="9">
        <v>45938</v>
      </c>
      <c r="D935" s="9">
        <v>45941</v>
      </c>
      <c r="E935" t="s">
        <v>118</v>
      </c>
      <c r="F935" t="s">
        <v>396</v>
      </c>
      <c r="G935">
        <v>6</v>
      </c>
      <c r="H935">
        <v>78.84</v>
      </c>
      <c r="I935" t="s">
        <v>912</v>
      </c>
      <c r="K935" t="b">
        <f>IF(Table1[[#This Row],[dispatch_date]]-Table1[[#This Row],[order_date]] &gt;=0, TRUE, FALSE)</f>
        <v>1</v>
      </c>
    </row>
    <row r="936" spans="1:11" x14ac:dyDescent="0.2">
      <c r="A936" t="s">
        <v>2635</v>
      </c>
      <c r="B936" t="s">
        <v>985</v>
      </c>
      <c r="C936" s="9">
        <v>45938</v>
      </c>
      <c r="D936" s="9">
        <v>45940</v>
      </c>
      <c r="E936" t="s">
        <v>110</v>
      </c>
      <c r="F936" t="s">
        <v>358</v>
      </c>
      <c r="G936">
        <v>6</v>
      </c>
      <c r="H936">
        <v>19.62</v>
      </c>
      <c r="I936" t="s">
        <v>1079</v>
      </c>
      <c r="K936" t="b">
        <f>IF(Table1[[#This Row],[dispatch_date]]-Table1[[#This Row],[order_date]] &gt;=0, TRUE, FALSE)</f>
        <v>1</v>
      </c>
    </row>
    <row r="937" spans="1:11" x14ac:dyDescent="0.2">
      <c r="A937" t="s">
        <v>1348</v>
      </c>
      <c r="B937" t="s">
        <v>942</v>
      </c>
      <c r="C937" s="9">
        <v>45939</v>
      </c>
      <c r="D937" s="9">
        <v>45939</v>
      </c>
      <c r="E937" t="s">
        <v>38</v>
      </c>
      <c r="F937" t="s">
        <v>889</v>
      </c>
      <c r="G937">
        <v>6</v>
      </c>
      <c r="H937">
        <v>30.6</v>
      </c>
      <c r="I937" t="s">
        <v>916</v>
      </c>
      <c r="K937" t="b">
        <f>IF(Table1[[#This Row],[dispatch_date]]-Table1[[#This Row],[order_date]] &gt;=0, TRUE, FALSE)</f>
        <v>1</v>
      </c>
    </row>
    <row r="938" spans="1:11" x14ac:dyDescent="0.2">
      <c r="A938" t="s">
        <v>1411</v>
      </c>
      <c r="B938" t="s">
        <v>1060</v>
      </c>
      <c r="C938" s="9">
        <v>45939</v>
      </c>
      <c r="D938" s="9">
        <v>45942</v>
      </c>
      <c r="E938" t="s">
        <v>52</v>
      </c>
      <c r="F938" t="s">
        <v>679</v>
      </c>
      <c r="G938">
        <v>48</v>
      </c>
      <c r="H938">
        <v>236.64</v>
      </c>
      <c r="I938" t="s">
        <v>956</v>
      </c>
      <c r="K938" t="b">
        <f>IF(Table1[[#This Row],[dispatch_date]]-Table1[[#This Row],[order_date]] &gt;=0, TRUE, FALSE)</f>
        <v>1</v>
      </c>
    </row>
    <row r="939" spans="1:11" x14ac:dyDescent="0.2">
      <c r="A939" t="s">
        <v>2384</v>
      </c>
      <c r="B939" t="s">
        <v>1046</v>
      </c>
      <c r="C939" s="9">
        <v>45939</v>
      </c>
      <c r="D939" s="9">
        <v>45942</v>
      </c>
      <c r="E939" t="s">
        <v>67</v>
      </c>
      <c r="F939" t="s">
        <v>398</v>
      </c>
      <c r="G939">
        <v>72</v>
      </c>
      <c r="H939">
        <v>381.6</v>
      </c>
      <c r="I939" t="s">
        <v>912</v>
      </c>
      <c r="K939" t="b">
        <f>IF(Table1[[#This Row],[dispatch_date]]-Table1[[#This Row],[order_date]] &gt;=0, TRUE, FALSE)</f>
        <v>1</v>
      </c>
    </row>
    <row r="940" spans="1:11" x14ac:dyDescent="0.2">
      <c r="A940" t="s">
        <v>1401</v>
      </c>
      <c r="B940" t="s">
        <v>1056</v>
      </c>
      <c r="C940" s="9">
        <v>45941</v>
      </c>
      <c r="D940" s="9">
        <v>45943</v>
      </c>
      <c r="E940" t="s">
        <v>80</v>
      </c>
      <c r="F940" t="s">
        <v>352</v>
      </c>
      <c r="G940">
        <v>48</v>
      </c>
      <c r="H940">
        <v>285.60000000000002</v>
      </c>
      <c r="I940" t="s">
        <v>912</v>
      </c>
      <c r="K940" t="b">
        <f>IF(Table1[[#This Row],[dispatch_date]]-Table1[[#This Row],[order_date]] &gt;=0, TRUE, FALSE)</f>
        <v>1</v>
      </c>
    </row>
    <row r="941" spans="1:11" x14ac:dyDescent="0.2">
      <c r="A941" t="s">
        <v>2137</v>
      </c>
      <c r="B941" t="s">
        <v>996</v>
      </c>
      <c r="C941" s="9">
        <v>45941</v>
      </c>
      <c r="D941" s="9">
        <v>45944</v>
      </c>
      <c r="E941" t="s">
        <v>125</v>
      </c>
      <c r="F941" t="s">
        <v>519</v>
      </c>
      <c r="G941">
        <v>24</v>
      </c>
      <c r="H941">
        <v>183.12</v>
      </c>
      <c r="I941" t="s">
        <v>956</v>
      </c>
      <c r="K941" t="b">
        <f>IF(Table1[[#This Row],[dispatch_date]]-Table1[[#This Row],[order_date]] &gt;=0, TRUE, FALSE)</f>
        <v>1</v>
      </c>
    </row>
    <row r="942" spans="1:11" x14ac:dyDescent="0.2">
      <c r="A942" t="s">
        <v>2322</v>
      </c>
      <c r="B942" t="s">
        <v>1074</v>
      </c>
      <c r="C942" s="9">
        <v>45941</v>
      </c>
      <c r="D942" s="9">
        <v>45942</v>
      </c>
      <c r="E942" t="s">
        <v>17</v>
      </c>
      <c r="F942" t="s">
        <v>699</v>
      </c>
      <c r="G942">
        <v>24</v>
      </c>
      <c r="H942">
        <v>143.76</v>
      </c>
      <c r="I942" t="s">
        <v>916</v>
      </c>
      <c r="K942" t="b">
        <f>IF(Table1[[#This Row],[dispatch_date]]-Table1[[#This Row],[order_date]] &gt;=0, TRUE, FALSE)</f>
        <v>1</v>
      </c>
    </row>
    <row r="943" spans="1:11" x14ac:dyDescent="0.2">
      <c r="A943" t="s">
        <v>2609</v>
      </c>
      <c r="B943" t="s">
        <v>1077</v>
      </c>
      <c r="C943" s="9">
        <v>45941</v>
      </c>
      <c r="D943" s="9">
        <v>45941</v>
      </c>
      <c r="E943" t="s">
        <v>86</v>
      </c>
      <c r="F943" t="s">
        <v>723</v>
      </c>
      <c r="G943">
        <v>24</v>
      </c>
      <c r="H943">
        <v>72.73</v>
      </c>
      <c r="I943" t="s">
        <v>1079</v>
      </c>
      <c r="K943" t="b">
        <f>IF(Table1[[#This Row],[dispatch_date]]-Table1[[#This Row],[order_date]] &gt;=0, TRUE, FALSE)</f>
        <v>1</v>
      </c>
    </row>
    <row r="944" spans="1:11" x14ac:dyDescent="0.2">
      <c r="A944" t="s">
        <v>2728</v>
      </c>
      <c r="B944" t="s">
        <v>1027</v>
      </c>
      <c r="C944" s="9">
        <v>45941</v>
      </c>
      <c r="D944" s="9">
        <v>45941</v>
      </c>
      <c r="E944" t="s">
        <v>52</v>
      </c>
      <c r="F944" t="s">
        <v>732</v>
      </c>
      <c r="G944">
        <v>72</v>
      </c>
      <c r="H944">
        <v>354.96</v>
      </c>
      <c r="I944" t="s">
        <v>912</v>
      </c>
      <c r="K944" t="b">
        <f>IF(Table1[[#This Row],[dispatch_date]]-Table1[[#This Row],[order_date]] &gt;=0, TRUE, FALSE)</f>
        <v>1</v>
      </c>
    </row>
    <row r="945" spans="1:11" x14ac:dyDescent="0.2">
      <c r="A945" t="s">
        <v>1483</v>
      </c>
      <c r="B945" t="s">
        <v>1069</v>
      </c>
      <c r="C945" s="9">
        <v>45942</v>
      </c>
      <c r="D945" s="9">
        <v>45943</v>
      </c>
      <c r="E945" t="s">
        <v>118</v>
      </c>
      <c r="F945" t="s">
        <v>500</v>
      </c>
      <c r="G945">
        <v>48</v>
      </c>
      <c r="H945">
        <v>630.72</v>
      </c>
      <c r="I945" t="s">
        <v>956</v>
      </c>
      <c r="K945" t="b">
        <f>IF(Table1[[#This Row],[dispatch_date]]-Table1[[#This Row],[order_date]] &gt;=0, TRUE, FALSE)</f>
        <v>1</v>
      </c>
    </row>
    <row r="946" spans="1:11" x14ac:dyDescent="0.2">
      <c r="A946" t="s">
        <v>2007</v>
      </c>
      <c r="B946" t="s">
        <v>914</v>
      </c>
      <c r="C946" s="9">
        <v>45942</v>
      </c>
      <c r="D946" s="9">
        <v>45942</v>
      </c>
      <c r="E946" t="s">
        <v>112</v>
      </c>
      <c r="F946" t="s">
        <v>184</v>
      </c>
      <c r="G946">
        <v>72</v>
      </c>
      <c r="H946">
        <v>411.08</v>
      </c>
      <c r="I946" t="s">
        <v>916</v>
      </c>
      <c r="K946" t="b">
        <f>IF(Table1[[#This Row],[dispatch_date]]-Table1[[#This Row],[order_date]] &gt;=0, TRUE, FALSE)</f>
        <v>1</v>
      </c>
    </row>
    <row r="947" spans="1:11" x14ac:dyDescent="0.2">
      <c r="A947" t="s">
        <v>2338</v>
      </c>
      <c r="B947" t="s">
        <v>989</v>
      </c>
      <c r="C947" s="9">
        <v>45942</v>
      </c>
      <c r="D947" s="9">
        <v>45943</v>
      </c>
      <c r="E947" t="s">
        <v>14</v>
      </c>
      <c r="F947" t="s">
        <v>383</v>
      </c>
      <c r="G947">
        <v>72</v>
      </c>
      <c r="H947">
        <v>262.8</v>
      </c>
      <c r="I947" t="s">
        <v>927</v>
      </c>
      <c r="K947" t="b">
        <f>IF(Table1[[#This Row],[dispatch_date]]-Table1[[#This Row],[order_date]] &gt;=0, TRUE, FALSE)</f>
        <v>1</v>
      </c>
    </row>
    <row r="948" spans="1:11" x14ac:dyDescent="0.2">
      <c r="A948" t="s">
        <v>1192</v>
      </c>
      <c r="B948" t="s">
        <v>1048</v>
      </c>
      <c r="C948" s="9">
        <v>45943</v>
      </c>
      <c r="D948" s="9">
        <v>45944</v>
      </c>
      <c r="E948" t="s">
        <v>74</v>
      </c>
      <c r="F948" t="s">
        <v>537</v>
      </c>
      <c r="G948">
        <v>6</v>
      </c>
      <c r="H948">
        <v>12.9</v>
      </c>
      <c r="I948" t="s">
        <v>912</v>
      </c>
      <c r="K948" t="b">
        <f>IF(Table1[[#This Row],[dispatch_date]]-Table1[[#This Row],[order_date]] &gt;=0, TRUE, FALSE)</f>
        <v>1</v>
      </c>
    </row>
    <row r="949" spans="1:11" x14ac:dyDescent="0.2">
      <c r="A949" t="s">
        <v>1432</v>
      </c>
      <c r="B949" t="s">
        <v>1034</v>
      </c>
      <c r="C949" s="9">
        <v>45943</v>
      </c>
      <c r="D949" s="9">
        <v>45943</v>
      </c>
      <c r="E949" t="s">
        <v>129</v>
      </c>
      <c r="F949" t="s">
        <v>469</v>
      </c>
      <c r="G949">
        <v>24</v>
      </c>
      <c r="H949">
        <v>114</v>
      </c>
      <c r="I949" t="s">
        <v>938</v>
      </c>
      <c r="K949" t="b">
        <f>IF(Table1[[#This Row],[dispatch_date]]-Table1[[#This Row],[order_date]] &gt;=0, TRUE, FALSE)</f>
        <v>1</v>
      </c>
    </row>
    <row r="950" spans="1:11" x14ac:dyDescent="0.2">
      <c r="A950" t="s">
        <v>1603</v>
      </c>
      <c r="B950" t="s">
        <v>1046</v>
      </c>
      <c r="C950" s="9">
        <v>45943</v>
      </c>
      <c r="D950" s="9">
        <v>45943</v>
      </c>
      <c r="E950" t="s">
        <v>129</v>
      </c>
      <c r="F950" t="s">
        <v>749</v>
      </c>
      <c r="G950">
        <v>48</v>
      </c>
      <c r="H950">
        <v>216.6</v>
      </c>
      <c r="I950" t="s">
        <v>912</v>
      </c>
      <c r="K950" t="b">
        <f>IF(Table1[[#This Row],[dispatch_date]]-Table1[[#This Row],[order_date]] &gt;=0, TRUE, FALSE)</f>
        <v>1</v>
      </c>
    </row>
    <row r="951" spans="1:11" x14ac:dyDescent="0.2">
      <c r="A951" t="s">
        <v>1606</v>
      </c>
      <c r="B951" t="s">
        <v>991</v>
      </c>
      <c r="C951" s="9">
        <v>45943</v>
      </c>
      <c r="D951" s="9">
        <v>45945</v>
      </c>
      <c r="E951" t="s">
        <v>125</v>
      </c>
      <c r="F951" t="s">
        <v>519</v>
      </c>
      <c r="G951">
        <v>24</v>
      </c>
      <c r="H951">
        <v>183.12</v>
      </c>
      <c r="I951" t="s">
        <v>956</v>
      </c>
      <c r="K951" t="b">
        <f>IF(Table1[[#This Row],[dispatch_date]]-Table1[[#This Row],[order_date]] &gt;=0, TRUE, FALSE)</f>
        <v>1</v>
      </c>
    </row>
    <row r="952" spans="1:11" x14ac:dyDescent="0.2">
      <c r="A952" t="s">
        <v>1750</v>
      </c>
      <c r="B952" t="s">
        <v>1016</v>
      </c>
      <c r="C952" s="9">
        <v>45943</v>
      </c>
      <c r="D952" s="9">
        <v>45946</v>
      </c>
      <c r="E952" t="s">
        <v>42</v>
      </c>
      <c r="G952">
        <v>6</v>
      </c>
      <c r="H952">
        <v>19.62</v>
      </c>
      <c r="I952" t="s">
        <v>912</v>
      </c>
      <c r="K952" t="b">
        <f>IF(Table1[[#This Row],[dispatch_date]]-Table1[[#This Row],[order_date]] &gt;=0, TRUE, FALSE)</f>
        <v>1</v>
      </c>
    </row>
    <row r="953" spans="1:11" x14ac:dyDescent="0.2">
      <c r="A953" t="s">
        <v>1470</v>
      </c>
      <c r="B953" t="s">
        <v>945</v>
      </c>
      <c r="C953" s="9">
        <v>45944</v>
      </c>
      <c r="D953" s="9">
        <v>45946</v>
      </c>
      <c r="E953" t="s">
        <v>74</v>
      </c>
      <c r="F953" t="s">
        <v>537</v>
      </c>
      <c r="G953">
        <v>36</v>
      </c>
      <c r="H953">
        <v>77.400000000000006</v>
      </c>
      <c r="I953" t="s">
        <v>938</v>
      </c>
      <c r="K953" t="b">
        <f>IF(Table1[[#This Row],[dispatch_date]]-Table1[[#This Row],[order_date]] &gt;=0, TRUE, FALSE)</f>
        <v>1</v>
      </c>
    </row>
    <row r="954" spans="1:11" x14ac:dyDescent="0.2">
      <c r="A954" t="s">
        <v>1589</v>
      </c>
      <c r="B954" t="s">
        <v>976</v>
      </c>
      <c r="C954" s="9">
        <v>45944</v>
      </c>
      <c r="D954" s="9">
        <v>45946</v>
      </c>
      <c r="E954" t="s">
        <v>30</v>
      </c>
      <c r="F954" t="s">
        <v>872</v>
      </c>
      <c r="G954">
        <v>36</v>
      </c>
      <c r="H954">
        <v>82.08</v>
      </c>
      <c r="I954" t="s">
        <v>938</v>
      </c>
      <c r="K954" t="b">
        <f>IF(Table1[[#This Row],[dispatch_date]]-Table1[[#This Row],[order_date]] &gt;=0, TRUE, FALSE)</f>
        <v>1</v>
      </c>
    </row>
    <row r="955" spans="1:11" x14ac:dyDescent="0.2">
      <c r="A955" t="s">
        <v>1934</v>
      </c>
      <c r="B955" t="s">
        <v>976</v>
      </c>
      <c r="C955" s="9">
        <v>45944</v>
      </c>
      <c r="D955" s="9">
        <v>45947</v>
      </c>
      <c r="E955" t="s">
        <v>28</v>
      </c>
      <c r="F955" t="s">
        <v>561</v>
      </c>
      <c r="G955">
        <v>12</v>
      </c>
      <c r="H955">
        <v>65.44</v>
      </c>
      <c r="I955" t="s">
        <v>938</v>
      </c>
      <c r="K955" t="b">
        <f>IF(Table1[[#This Row],[dispatch_date]]-Table1[[#This Row],[order_date]] &gt;=0, TRUE, FALSE)</f>
        <v>1</v>
      </c>
    </row>
    <row r="956" spans="1:11" x14ac:dyDescent="0.2">
      <c r="A956" t="s">
        <v>2750</v>
      </c>
      <c r="B956" t="s">
        <v>1006</v>
      </c>
      <c r="C956" s="9">
        <v>45944</v>
      </c>
      <c r="D956" s="9">
        <v>45945</v>
      </c>
      <c r="E956" t="s">
        <v>88</v>
      </c>
      <c r="F956" t="s">
        <v>648</v>
      </c>
      <c r="G956">
        <v>12</v>
      </c>
      <c r="H956">
        <v>49.56</v>
      </c>
      <c r="I956" t="s">
        <v>912</v>
      </c>
      <c r="K956" t="b">
        <f>IF(Table1[[#This Row],[dispatch_date]]-Table1[[#This Row],[order_date]] &gt;=0, TRUE, FALSE)</f>
        <v>1</v>
      </c>
    </row>
    <row r="957" spans="1:11" x14ac:dyDescent="0.2">
      <c r="A957" t="s">
        <v>1503</v>
      </c>
      <c r="B957" t="s">
        <v>1021</v>
      </c>
      <c r="C957" s="9">
        <v>45945</v>
      </c>
      <c r="D957" s="9">
        <v>45946</v>
      </c>
      <c r="E957" t="s">
        <v>103</v>
      </c>
      <c r="F957" t="s">
        <v>776</v>
      </c>
      <c r="G957">
        <v>72</v>
      </c>
      <c r="H957">
        <v>519.12</v>
      </c>
      <c r="I957" t="s">
        <v>916</v>
      </c>
      <c r="K957" t="b">
        <f>IF(Table1[[#This Row],[dispatch_date]]-Table1[[#This Row],[order_date]] &gt;=0, TRUE, FALSE)</f>
        <v>1</v>
      </c>
    </row>
    <row r="958" spans="1:11" x14ac:dyDescent="0.2">
      <c r="A958" t="s">
        <v>2774</v>
      </c>
      <c r="B958" t="s">
        <v>1016</v>
      </c>
      <c r="C958" s="9">
        <v>45945</v>
      </c>
      <c r="D958" s="9">
        <v>45947</v>
      </c>
      <c r="E958" t="s">
        <v>42</v>
      </c>
      <c r="F958" t="s">
        <v>411</v>
      </c>
      <c r="G958">
        <v>6</v>
      </c>
      <c r="H958">
        <v>19.62</v>
      </c>
      <c r="I958" t="s">
        <v>912</v>
      </c>
      <c r="K958" t="b">
        <f>IF(Table1[[#This Row],[dispatch_date]]-Table1[[#This Row],[order_date]] &gt;=0, TRUE, FALSE)</f>
        <v>1</v>
      </c>
    </row>
    <row r="959" spans="1:11" x14ac:dyDescent="0.2">
      <c r="A959" t="s">
        <v>2793</v>
      </c>
      <c r="B959" t="s">
        <v>973</v>
      </c>
      <c r="C959" s="9">
        <v>45945</v>
      </c>
      <c r="D959" s="9">
        <v>45945</v>
      </c>
      <c r="E959" t="s">
        <v>40</v>
      </c>
      <c r="F959" t="s">
        <v>892</v>
      </c>
      <c r="G959">
        <v>24</v>
      </c>
      <c r="H959">
        <v>93.36</v>
      </c>
      <c r="I959" t="s">
        <v>1079</v>
      </c>
      <c r="K959" t="b">
        <f>IF(Table1[[#This Row],[dispatch_date]]-Table1[[#This Row],[order_date]] &gt;=0, TRUE, FALSE)</f>
        <v>1</v>
      </c>
    </row>
    <row r="960" spans="1:11" x14ac:dyDescent="0.2">
      <c r="A960" t="s">
        <v>1369</v>
      </c>
      <c r="B960" t="s">
        <v>951</v>
      </c>
      <c r="C960" s="9">
        <v>45946</v>
      </c>
      <c r="D960" s="9">
        <v>45947</v>
      </c>
      <c r="E960" t="s">
        <v>54</v>
      </c>
      <c r="F960" t="s">
        <v>241</v>
      </c>
      <c r="G960">
        <v>48</v>
      </c>
      <c r="H960">
        <v>212.64</v>
      </c>
      <c r="I960" t="s">
        <v>956</v>
      </c>
      <c r="K960" t="b">
        <f>IF(Table1[[#This Row],[dispatch_date]]-Table1[[#This Row],[order_date]] &gt;=0, TRUE, FALSE)</f>
        <v>1</v>
      </c>
    </row>
    <row r="961" spans="1:11" x14ac:dyDescent="0.2">
      <c r="A961" t="s">
        <v>2509</v>
      </c>
      <c r="B961" t="s">
        <v>1001</v>
      </c>
      <c r="C961" s="9">
        <v>45946</v>
      </c>
      <c r="D961" s="9">
        <v>45946</v>
      </c>
      <c r="E961" t="s">
        <v>54</v>
      </c>
      <c r="F961" t="s">
        <v>449</v>
      </c>
      <c r="G961">
        <v>24</v>
      </c>
      <c r="H961">
        <v>106.32</v>
      </c>
      <c r="I961" t="s">
        <v>916</v>
      </c>
      <c r="K961" t="b">
        <f>IF(Table1[[#This Row],[dispatch_date]]-Table1[[#This Row],[order_date]] &gt;=0, TRUE, FALSE)</f>
        <v>1</v>
      </c>
    </row>
    <row r="962" spans="1:11" x14ac:dyDescent="0.2">
      <c r="A962" t="s">
        <v>2765</v>
      </c>
      <c r="B962" t="s">
        <v>1006</v>
      </c>
      <c r="C962" s="9">
        <v>45946</v>
      </c>
      <c r="D962" s="9">
        <v>45948</v>
      </c>
      <c r="E962" t="s">
        <v>50</v>
      </c>
      <c r="F962" t="s">
        <v>389</v>
      </c>
      <c r="G962">
        <v>12</v>
      </c>
      <c r="H962">
        <v>69.540000000000006</v>
      </c>
      <c r="I962" t="s">
        <v>912</v>
      </c>
      <c r="K962" t="b">
        <f>IF(Table1[[#This Row],[dispatch_date]]-Table1[[#This Row],[order_date]] &gt;=0, TRUE, FALSE)</f>
        <v>1</v>
      </c>
    </row>
    <row r="963" spans="1:11" x14ac:dyDescent="0.2">
      <c r="A963" t="s">
        <v>1096</v>
      </c>
      <c r="B963" t="s">
        <v>925</v>
      </c>
      <c r="C963" s="9">
        <v>45947</v>
      </c>
      <c r="D963" s="9">
        <v>45947</v>
      </c>
      <c r="E963" t="s">
        <v>67</v>
      </c>
      <c r="F963" t="s">
        <v>857</v>
      </c>
      <c r="G963">
        <v>6</v>
      </c>
      <c r="H963">
        <v>31.8</v>
      </c>
      <c r="I963" t="s">
        <v>927</v>
      </c>
      <c r="K963" t="b">
        <f>IF(Table1[[#This Row],[dispatch_date]]-Table1[[#This Row],[order_date]] &gt;=0, TRUE, FALSE)</f>
        <v>1</v>
      </c>
    </row>
    <row r="964" spans="1:11" x14ac:dyDescent="0.2">
      <c r="A964" t="s">
        <v>1393</v>
      </c>
      <c r="B964" t="s">
        <v>1031</v>
      </c>
      <c r="C964" s="9">
        <v>45948</v>
      </c>
      <c r="D964" s="9">
        <v>45948</v>
      </c>
      <c r="E964" t="s">
        <v>88</v>
      </c>
      <c r="F964" t="s">
        <v>648</v>
      </c>
      <c r="G964">
        <v>72</v>
      </c>
      <c r="H964">
        <v>297.36</v>
      </c>
      <c r="I964" t="s">
        <v>956</v>
      </c>
      <c r="K964" t="b">
        <f>IF(Table1[[#This Row],[dispatch_date]]-Table1[[#This Row],[order_date]] &gt;=0, TRUE, FALSE)</f>
        <v>1</v>
      </c>
    </row>
    <row r="965" spans="1:11" x14ac:dyDescent="0.2">
      <c r="A965" t="s">
        <v>1529</v>
      </c>
      <c r="B965" t="s">
        <v>979</v>
      </c>
      <c r="C965" s="9">
        <v>45948</v>
      </c>
      <c r="D965" s="9">
        <v>45951</v>
      </c>
      <c r="E965" t="s">
        <v>48</v>
      </c>
      <c r="F965" t="s">
        <v>802</v>
      </c>
      <c r="G965">
        <v>12</v>
      </c>
      <c r="H965">
        <v>80.88</v>
      </c>
      <c r="I965" t="s">
        <v>927</v>
      </c>
      <c r="K965" t="b">
        <f>IF(Table1[[#This Row],[dispatch_date]]-Table1[[#This Row],[order_date]] &gt;=0, TRUE, FALSE)</f>
        <v>1</v>
      </c>
    </row>
    <row r="966" spans="1:11" x14ac:dyDescent="0.2">
      <c r="A966" t="s">
        <v>1642</v>
      </c>
      <c r="B966" t="s">
        <v>1031</v>
      </c>
      <c r="C966" s="9">
        <v>45948</v>
      </c>
      <c r="D966" s="9">
        <v>45950</v>
      </c>
      <c r="E966" t="s">
        <v>74</v>
      </c>
      <c r="G966">
        <v>6</v>
      </c>
      <c r="H966">
        <v>12.9</v>
      </c>
      <c r="I966" t="s">
        <v>956</v>
      </c>
      <c r="K966" t="b">
        <f>IF(Table1[[#This Row],[dispatch_date]]-Table1[[#This Row],[order_date]] &gt;=0, TRUE, FALSE)</f>
        <v>1</v>
      </c>
    </row>
    <row r="967" spans="1:11" x14ac:dyDescent="0.2">
      <c r="A967" t="s">
        <v>2123</v>
      </c>
      <c r="B967" t="s">
        <v>925</v>
      </c>
      <c r="C967" s="9">
        <v>45948</v>
      </c>
      <c r="D967" s="9">
        <v>45949</v>
      </c>
      <c r="E967" t="s">
        <v>56</v>
      </c>
      <c r="F967" t="s">
        <v>606</v>
      </c>
      <c r="G967">
        <v>12</v>
      </c>
      <c r="H967">
        <v>70.56</v>
      </c>
      <c r="I967" t="s">
        <v>938</v>
      </c>
      <c r="K967" t="b">
        <f>IF(Table1[[#This Row],[dispatch_date]]-Table1[[#This Row],[order_date]] &gt;=0, TRUE, FALSE)</f>
        <v>1</v>
      </c>
    </row>
    <row r="968" spans="1:11" x14ac:dyDescent="0.2">
      <c r="A968" t="s">
        <v>2455</v>
      </c>
      <c r="B968" t="s">
        <v>1052</v>
      </c>
      <c r="C968" s="9">
        <v>45948</v>
      </c>
      <c r="D968" s="9">
        <v>45948</v>
      </c>
      <c r="E968" t="s">
        <v>58</v>
      </c>
      <c r="F968" t="s">
        <v>486</v>
      </c>
      <c r="G968">
        <v>48</v>
      </c>
      <c r="H968">
        <v>302.39999999999998</v>
      </c>
      <c r="I968" t="s">
        <v>956</v>
      </c>
      <c r="K968" t="b">
        <f>IF(Table1[[#This Row],[dispatch_date]]-Table1[[#This Row],[order_date]] &gt;=0, TRUE, FALSE)</f>
        <v>1</v>
      </c>
    </row>
    <row r="969" spans="1:11" x14ac:dyDescent="0.2">
      <c r="A969" t="s">
        <v>2459</v>
      </c>
      <c r="B969" t="s">
        <v>1080</v>
      </c>
      <c r="C969" s="9">
        <v>45948</v>
      </c>
      <c r="D969" s="9">
        <v>45949</v>
      </c>
      <c r="E969" t="s">
        <v>25</v>
      </c>
      <c r="F969" t="s">
        <v>790</v>
      </c>
      <c r="G969">
        <v>72</v>
      </c>
      <c r="H969">
        <v>399.6</v>
      </c>
      <c r="I969" t="s">
        <v>916</v>
      </c>
      <c r="K969" t="b">
        <f>IF(Table1[[#This Row],[dispatch_date]]-Table1[[#This Row],[order_date]] &gt;=0, TRUE, FALSE)</f>
        <v>1</v>
      </c>
    </row>
    <row r="970" spans="1:11" x14ac:dyDescent="0.2">
      <c r="A970" t="s">
        <v>2000</v>
      </c>
      <c r="B970" t="s">
        <v>929</v>
      </c>
      <c r="C970" s="9">
        <v>45949</v>
      </c>
      <c r="D970" s="9">
        <v>45952</v>
      </c>
      <c r="E970" t="s">
        <v>17</v>
      </c>
      <c r="F970" t="s">
        <v>307</v>
      </c>
      <c r="G970">
        <v>24</v>
      </c>
      <c r="H970">
        <v>143.76</v>
      </c>
      <c r="I970" t="s">
        <v>938</v>
      </c>
      <c r="K970" t="b">
        <f>IF(Table1[[#This Row],[dispatch_date]]-Table1[[#This Row],[order_date]] &gt;=0, TRUE, FALSE)</f>
        <v>1</v>
      </c>
    </row>
    <row r="971" spans="1:11" x14ac:dyDescent="0.2">
      <c r="A971" t="s">
        <v>2065</v>
      </c>
      <c r="B971" t="s">
        <v>1029</v>
      </c>
      <c r="C971" s="9">
        <v>45949</v>
      </c>
      <c r="D971" s="9"/>
      <c r="E971" t="s">
        <v>52</v>
      </c>
      <c r="F971" t="s">
        <v>732</v>
      </c>
      <c r="G971">
        <v>6</v>
      </c>
      <c r="H971">
        <v>28.1</v>
      </c>
      <c r="I971" t="s">
        <v>938</v>
      </c>
      <c r="K971" t="b">
        <f>IF(Table1[[#This Row],[dispatch_date]]-Table1[[#This Row],[order_date]] &gt;=0, TRUE, FALSE)</f>
        <v>0</v>
      </c>
    </row>
    <row r="972" spans="1:11" x14ac:dyDescent="0.2">
      <c r="A972" t="s">
        <v>2445</v>
      </c>
      <c r="B972" t="s">
        <v>1048</v>
      </c>
      <c r="C972" s="9">
        <v>45949</v>
      </c>
      <c r="D972" s="9">
        <v>45949</v>
      </c>
      <c r="E972" t="s">
        <v>110</v>
      </c>
      <c r="G972">
        <v>36</v>
      </c>
      <c r="H972">
        <v>111.83</v>
      </c>
      <c r="I972" t="s">
        <v>912</v>
      </c>
      <c r="K972" t="b">
        <f>IF(Table1[[#This Row],[dispatch_date]]-Table1[[#This Row],[order_date]] &gt;=0, TRUE, FALSE)</f>
        <v>1</v>
      </c>
    </row>
    <row r="973" spans="1:11" x14ac:dyDescent="0.2">
      <c r="A973" t="s">
        <v>2822</v>
      </c>
      <c r="B973" t="s">
        <v>901</v>
      </c>
      <c r="C973" s="9">
        <v>45949</v>
      </c>
      <c r="D973" s="9">
        <v>45949</v>
      </c>
      <c r="E973" t="s">
        <v>121</v>
      </c>
      <c r="F973" t="s">
        <v>593</v>
      </c>
      <c r="G973">
        <v>24</v>
      </c>
      <c r="H973">
        <v>308.16000000000003</v>
      </c>
      <c r="I973" t="s">
        <v>956</v>
      </c>
      <c r="K973" t="b">
        <f>IF(Table1[[#This Row],[dispatch_date]]-Table1[[#This Row],[order_date]] &gt;=0, TRUE, FALSE)</f>
        <v>1</v>
      </c>
    </row>
    <row r="974" spans="1:11" x14ac:dyDescent="0.2">
      <c r="A974" t="s">
        <v>1591</v>
      </c>
      <c r="B974" t="s">
        <v>1001</v>
      </c>
      <c r="C974" s="9">
        <v>45950</v>
      </c>
      <c r="D974" s="9">
        <v>45953</v>
      </c>
      <c r="E974" t="s">
        <v>33</v>
      </c>
      <c r="F974" t="s">
        <v>226</v>
      </c>
      <c r="G974">
        <v>36</v>
      </c>
      <c r="H974">
        <v>79.56</v>
      </c>
      <c r="I974" t="s">
        <v>916</v>
      </c>
      <c r="K974" t="b">
        <f>IF(Table1[[#This Row],[dispatch_date]]-Table1[[#This Row],[order_date]] &gt;=0, TRUE, FALSE)</f>
        <v>1</v>
      </c>
    </row>
    <row r="975" spans="1:11" x14ac:dyDescent="0.2">
      <c r="A975" t="s">
        <v>2013</v>
      </c>
      <c r="B975" t="s">
        <v>925</v>
      </c>
      <c r="C975" s="9">
        <v>45950</v>
      </c>
      <c r="D975" s="9">
        <v>45950</v>
      </c>
      <c r="E975" t="s">
        <v>108</v>
      </c>
      <c r="F975" t="s">
        <v>566</v>
      </c>
      <c r="G975">
        <v>36</v>
      </c>
      <c r="H975">
        <v>257.04000000000002</v>
      </c>
      <c r="I975" t="s">
        <v>927</v>
      </c>
      <c r="K975" t="b">
        <f>IF(Table1[[#This Row],[dispatch_date]]-Table1[[#This Row],[order_date]] &gt;=0, TRUE, FALSE)</f>
        <v>1</v>
      </c>
    </row>
    <row r="976" spans="1:11" x14ac:dyDescent="0.2">
      <c r="A976" t="s">
        <v>2492</v>
      </c>
      <c r="B976" t="s">
        <v>1048</v>
      </c>
      <c r="C976" s="9">
        <v>45950</v>
      </c>
      <c r="D976" s="9">
        <v>45951</v>
      </c>
      <c r="E976" t="s">
        <v>90</v>
      </c>
      <c r="F976" t="s">
        <v>759</v>
      </c>
      <c r="G976">
        <v>12</v>
      </c>
      <c r="H976">
        <v>100.8</v>
      </c>
      <c r="I976" t="s">
        <v>912</v>
      </c>
      <c r="K976" t="b">
        <f>IF(Table1[[#This Row],[dispatch_date]]-Table1[[#This Row],[order_date]] &gt;=0, TRUE, FALSE)</f>
        <v>1</v>
      </c>
    </row>
    <row r="977" spans="1:11" x14ac:dyDescent="0.2">
      <c r="A977" t="s">
        <v>1177</v>
      </c>
      <c r="B977" t="s">
        <v>1059</v>
      </c>
      <c r="C977" s="9">
        <v>45951</v>
      </c>
      <c r="D977" s="9">
        <v>45954</v>
      </c>
      <c r="E977" t="s">
        <v>123</v>
      </c>
      <c r="F977" t="s">
        <v>627</v>
      </c>
      <c r="G977">
        <v>36</v>
      </c>
      <c r="H977">
        <v>251.64</v>
      </c>
      <c r="I977" t="s">
        <v>956</v>
      </c>
      <c r="K977" t="b">
        <f>IF(Table1[[#This Row],[dispatch_date]]-Table1[[#This Row],[order_date]] &gt;=0, TRUE, FALSE)</f>
        <v>1</v>
      </c>
    </row>
    <row r="978" spans="1:11" x14ac:dyDescent="0.2">
      <c r="A978" t="s">
        <v>1387</v>
      </c>
      <c r="B978" t="s">
        <v>939</v>
      </c>
      <c r="C978" s="9">
        <v>45951</v>
      </c>
      <c r="D978" s="9">
        <v>45952</v>
      </c>
      <c r="E978" t="s">
        <v>127</v>
      </c>
      <c r="F978" t="s">
        <v>258</v>
      </c>
      <c r="G978">
        <v>48</v>
      </c>
      <c r="H978">
        <v>186.96</v>
      </c>
      <c r="I978" t="s">
        <v>916</v>
      </c>
      <c r="K978" t="b">
        <f>IF(Table1[[#This Row],[dispatch_date]]-Table1[[#This Row],[order_date]] &gt;=0, TRUE, FALSE)</f>
        <v>1</v>
      </c>
    </row>
    <row r="979" spans="1:11" x14ac:dyDescent="0.2">
      <c r="A979" t="s">
        <v>2118</v>
      </c>
      <c r="B979" t="s">
        <v>1037</v>
      </c>
      <c r="C979" s="9">
        <v>45952</v>
      </c>
      <c r="D979" s="9">
        <v>45955</v>
      </c>
      <c r="E979" t="s">
        <v>84</v>
      </c>
      <c r="F979" t="s">
        <v>757</v>
      </c>
      <c r="G979">
        <v>24</v>
      </c>
      <c r="H979">
        <v>53.52</v>
      </c>
      <c r="I979" t="s">
        <v>938</v>
      </c>
      <c r="K979" t="b">
        <f>IF(Table1[[#This Row],[dispatch_date]]-Table1[[#This Row],[order_date]] &gt;=0, TRUE, FALSE)</f>
        <v>1</v>
      </c>
    </row>
    <row r="980" spans="1:11" x14ac:dyDescent="0.2">
      <c r="A980" t="s">
        <v>2590</v>
      </c>
      <c r="B980" t="s">
        <v>1006</v>
      </c>
      <c r="C980" s="9">
        <v>45952</v>
      </c>
      <c r="D980" s="9">
        <v>45954</v>
      </c>
      <c r="E980" t="s">
        <v>74</v>
      </c>
      <c r="F980" t="s">
        <v>537</v>
      </c>
      <c r="G980">
        <v>24</v>
      </c>
      <c r="H980">
        <v>51.6</v>
      </c>
      <c r="I980" t="s">
        <v>912</v>
      </c>
      <c r="K980" t="b">
        <f>IF(Table1[[#This Row],[dispatch_date]]-Table1[[#This Row],[order_date]] &gt;=0, TRUE, FALSE)</f>
        <v>1</v>
      </c>
    </row>
    <row r="981" spans="1:11" x14ac:dyDescent="0.2">
      <c r="A981" t="s">
        <v>2160</v>
      </c>
      <c r="B981" t="s">
        <v>1074</v>
      </c>
      <c r="C981" s="9">
        <v>45953</v>
      </c>
      <c r="D981" s="9">
        <v>45953</v>
      </c>
      <c r="E981" t="s">
        <v>127</v>
      </c>
      <c r="F981" t="s">
        <v>258</v>
      </c>
      <c r="G981">
        <v>12</v>
      </c>
      <c r="H981">
        <v>49.2</v>
      </c>
      <c r="I981" t="s">
        <v>916</v>
      </c>
      <c r="K981" t="b">
        <f>IF(Table1[[#This Row],[dispatch_date]]-Table1[[#This Row],[order_date]] &gt;=0, TRUE, FALSE)</f>
        <v>1</v>
      </c>
    </row>
    <row r="982" spans="1:11" x14ac:dyDescent="0.2">
      <c r="A982" t="s">
        <v>2201</v>
      </c>
      <c r="B982" t="s">
        <v>971</v>
      </c>
      <c r="C982" s="9">
        <v>45953</v>
      </c>
      <c r="D982" s="9">
        <v>45954</v>
      </c>
      <c r="E982" t="s">
        <v>63</v>
      </c>
      <c r="F982" t="s">
        <v>718</v>
      </c>
      <c r="G982">
        <v>36</v>
      </c>
      <c r="H982">
        <v>352.8</v>
      </c>
      <c r="I982" t="s">
        <v>956</v>
      </c>
      <c r="K982" t="b">
        <f>IF(Table1[[#This Row],[dispatch_date]]-Table1[[#This Row],[order_date]] &gt;=0, TRUE, FALSE)</f>
        <v>1</v>
      </c>
    </row>
    <row r="983" spans="1:11" x14ac:dyDescent="0.2">
      <c r="A983" t="s">
        <v>2741</v>
      </c>
      <c r="B983" t="s">
        <v>976</v>
      </c>
      <c r="C983" s="9">
        <v>45953</v>
      </c>
      <c r="D983" s="9">
        <v>45956</v>
      </c>
      <c r="E983" t="s">
        <v>90</v>
      </c>
      <c r="F983" t="s">
        <v>716</v>
      </c>
      <c r="G983">
        <v>12</v>
      </c>
      <c r="H983">
        <v>100.8</v>
      </c>
      <c r="I983" t="s">
        <v>938</v>
      </c>
      <c r="K983" t="b">
        <f>IF(Table1[[#This Row],[dispatch_date]]-Table1[[#This Row],[order_date]] &gt;=0, TRUE, FALSE)</f>
        <v>1</v>
      </c>
    </row>
    <row r="984" spans="1:11" x14ac:dyDescent="0.2">
      <c r="A984" t="s">
        <v>1786</v>
      </c>
      <c r="B984" t="s">
        <v>998</v>
      </c>
      <c r="C984" s="9">
        <v>45954</v>
      </c>
      <c r="D984" s="9">
        <v>45956</v>
      </c>
      <c r="E984" t="s">
        <v>52</v>
      </c>
      <c r="F984" t="s">
        <v>714</v>
      </c>
      <c r="G984">
        <v>36</v>
      </c>
      <c r="H984">
        <v>168.61</v>
      </c>
      <c r="I984" t="s">
        <v>938</v>
      </c>
      <c r="K984" t="b">
        <f>IF(Table1[[#This Row],[dispatch_date]]-Table1[[#This Row],[order_date]] &gt;=0, TRUE, FALSE)</f>
        <v>1</v>
      </c>
    </row>
    <row r="985" spans="1:11" x14ac:dyDescent="0.2">
      <c r="A985" t="s">
        <v>2478</v>
      </c>
      <c r="B985" t="s">
        <v>1077</v>
      </c>
      <c r="C985" s="9">
        <v>45954</v>
      </c>
      <c r="D985" s="9">
        <v>45957</v>
      </c>
      <c r="E985" t="s">
        <v>99</v>
      </c>
      <c r="F985" t="s">
        <v>804</v>
      </c>
      <c r="G985">
        <v>6</v>
      </c>
      <c r="H985">
        <v>44.34</v>
      </c>
      <c r="I985" t="s">
        <v>1079</v>
      </c>
      <c r="K985" t="b">
        <f>IF(Table1[[#This Row],[dispatch_date]]-Table1[[#This Row],[order_date]] &gt;=0, TRUE, FALSE)</f>
        <v>1</v>
      </c>
    </row>
    <row r="986" spans="1:11" x14ac:dyDescent="0.2">
      <c r="A986" t="s">
        <v>2153</v>
      </c>
      <c r="B986" t="s">
        <v>1037</v>
      </c>
      <c r="C986" s="9">
        <v>45955</v>
      </c>
      <c r="D986" s="9">
        <v>45958</v>
      </c>
      <c r="E986" t="s">
        <v>17</v>
      </c>
      <c r="F986" t="s">
        <v>585</v>
      </c>
      <c r="G986">
        <v>36</v>
      </c>
      <c r="H986">
        <v>215.64</v>
      </c>
      <c r="I986" t="s">
        <v>938</v>
      </c>
      <c r="K986" t="b">
        <f>IF(Table1[[#This Row],[dispatch_date]]-Table1[[#This Row],[order_date]] &gt;=0, TRUE, FALSE)</f>
        <v>1</v>
      </c>
    </row>
    <row r="987" spans="1:11" x14ac:dyDescent="0.2">
      <c r="A987" t="s">
        <v>2397</v>
      </c>
      <c r="B987" t="s">
        <v>965</v>
      </c>
      <c r="C987" s="9">
        <v>45955</v>
      </c>
      <c r="D987" s="9">
        <v>45956</v>
      </c>
      <c r="E987" t="s">
        <v>93</v>
      </c>
      <c r="F987" t="s">
        <v>686</v>
      </c>
      <c r="G987">
        <v>36</v>
      </c>
      <c r="H987">
        <v>95.42</v>
      </c>
      <c r="I987" t="s">
        <v>956</v>
      </c>
      <c r="K987" t="b">
        <f>IF(Table1[[#This Row],[dispatch_date]]-Table1[[#This Row],[order_date]] &gt;=0, TRUE, FALSE)</f>
        <v>1</v>
      </c>
    </row>
    <row r="988" spans="1:11" x14ac:dyDescent="0.2">
      <c r="A988" t="s">
        <v>1739</v>
      </c>
      <c r="B988" t="s">
        <v>960</v>
      </c>
      <c r="C988" s="9">
        <v>45956</v>
      </c>
      <c r="D988" s="9">
        <v>45958</v>
      </c>
      <c r="E988" t="s">
        <v>86</v>
      </c>
      <c r="F988" t="s">
        <v>723</v>
      </c>
      <c r="G988">
        <v>24</v>
      </c>
      <c r="H988">
        <v>76.56</v>
      </c>
      <c r="I988" t="s">
        <v>938</v>
      </c>
      <c r="K988" t="b">
        <f>IF(Table1[[#This Row],[dispatch_date]]-Table1[[#This Row],[order_date]] &gt;=0, TRUE, FALSE)</f>
        <v>1</v>
      </c>
    </row>
    <row r="989" spans="1:11" x14ac:dyDescent="0.2">
      <c r="A989" t="s">
        <v>1345</v>
      </c>
      <c r="B989" t="s">
        <v>1061</v>
      </c>
      <c r="C989" s="9">
        <v>45957</v>
      </c>
      <c r="D989" s="9">
        <v>45957</v>
      </c>
      <c r="E989" t="s">
        <v>101</v>
      </c>
      <c r="F989" t="s">
        <v>573</v>
      </c>
      <c r="G989">
        <v>72</v>
      </c>
      <c r="H989">
        <v>229.82</v>
      </c>
      <c r="I989" t="s">
        <v>912</v>
      </c>
      <c r="K989" t="b">
        <f>IF(Table1[[#This Row],[dispatch_date]]-Table1[[#This Row],[order_date]] &gt;=0, TRUE, FALSE)</f>
        <v>1</v>
      </c>
    </row>
    <row r="990" spans="1:11" x14ac:dyDescent="0.2">
      <c r="A990" t="s">
        <v>2029</v>
      </c>
      <c r="B990" t="s">
        <v>1034</v>
      </c>
      <c r="C990" s="9">
        <v>45957</v>
      </c>
      <c r="D990" s="9"/>
      <c r="E990" t="s">
        <v>71</v>
      </c>
      <c r="G990">
        <v>24</v>
      </c>
      <c r="H990">
        <v>228.24</v>
      </c>
      <c r="I990" t="s">
        <v>938</v>
      </c>
      <c r="K990" t="b">
        <f>IF(Table1[[#This Row],[dispatch_date]]-Table1[[#This Row],[order_date]] &gt;=0, TRUE, FALSE)</f>
        <v>0</v>
      </c>
    </row>
    <row r="991" spans="1:11" x14ac:dyDescent="0.2">
      <c r="A991" t="s">
        <v>2746</v>
      </c>
      <c r="B991" t="s">
        <v>1021</v>
      </c>
      <c r="C991" s="9">
        <v>45957</v>
      </c>
      <c r="D991" s="9">
        <v>45958</v>
      </c>
      <c r="E991" t="s">
        <v>101</v>
      </c>
      <c r="F991" t="s">
        <v>773</v>
      </c>
      <c r="G991">
        <v>36</v>
      </c>
      <c r="H991">
        <v>114.91</v>
      </c>
      <c r="I991" t="s">
        <v>916</v>
      </c>
      <c r="K991" t="b">
        <f>IF(Table1[[#This Row],[dispatch_date]]-Table1[[#This Row],[order_date]] &gt;=0, TRUE, FALSE)</f>
        <v>1</v>
      </c>
    </row>
    <row r="992" spans="1:11" x14ac:dyDescent="0.2">
      <c r="A992" t="s">
        <v>1860</v>
      </c>
      <c r="B992" t="s">
        <v>1074</v>
      </c>
      <c r="C992" s="9">
        <v>45958</v>
      </c>
      <c r="D992" s="9">
        <v>45961</v>
      </c>
      <c r="E992" t="s">
        <v>71</v>
      </c>
      <c r="F992" t="s">
        <v>516</v>
      </c>
      <c r="G992">
        <v>48</v>
      </c>
      <c r="H992">
        <v>456.48</v>
      </c>
      <c r="I992" t="s">
        <v>916</v>
      </c>
      <c r="K992" t="b">
        <f>IF(Table1[[#This Row],[dispatch_date]]-Table1[[#This Row],[order_date]] &gt;=0, TRUE, FALSE)</f>
        <v>1</v>
      </c>
    </row>
    <row r="993" spans="1:11" x14ac:dyDescent="0.2">
      <c r="A993" t="s">
        <v>1816</v>
      </c>
      <c r="B993" t="s">
        <v>1037</v>
      </c>
      <c r="C993" s="9">
        <v>45959</v>
      </c>
      <c r="D993" s="9">
        <v>45962</v>
      </c>
      <c r="E993" t="s">
        <v>25</v>
      </c>
      <c r="F993" t="s">
        <v>188</v>
      </c>
      <c r="G993">
        <v>12</v>
      </c>
      <c r="H993">
        <v>66.599999999999994</v>
      </c>
      <c r="I993" t="s">
        <v>938</v>
      </c>
      <c r="K993" t="b">
        <f>IF(Table1[[#This Row],[dispatch_date]]-Table1[[#This Row],[order_date]] &gt;=0, TRUE, FALSE)</f>
        <v>1</v>
      </c>
    </row>
    <row r="994" spans="1:11" x14ac:dyDescent="0.2">
      <c r="A994" t="s">
        <v>2109</v>
      </c>
      <c r="B994" t="s">
        <v>1080</v>
      </c>
      <c r="C994" s="9">
        <v>45959</v>
      </c>
      <c r="D994" s="9">
        <v>45959</v>
      </c>
      <c r="E994" t="s">
        <v>50</v>
      </c>
      <c r="F994" t="s">
        <v>525</v>
      </c>
      <c r="G994">
        <v>36</v>
      </c>
      <c r="H994">
        <v>219.6</v>
      </c>
      <c r="I994" t="s">
        <v>916</v>
      </c>
      <c r="K994" t="b">
        <f>IF(Table1[[#This Row],[dispatch_date]]-Table1[[#This Row],[order_date]] &gt;=0, TRUE, FALSE)</f>
        <v>1</v>
      </c>
    </row>
    <row r="995" spans="1:11" x14ac:dyDescent="0.2">
      <c r="A995" t="s">
        <v>2531</v>
      </c>
      <c r="B995" t="s">
        <v>1029</v>
      </c>
      <c r="C995" s="9">
        <v>45959</v>
      </c>
      <c r="D995" s="9">
        <v>45962</v>
      </c>
      <c r="E995" t="s">
        <v>52</v>
      </c>
      <c r="F995" t="s">
        <v>732</v>
      </c>
      <c r="G995">
        <v>48</v>
      </c>
      <c r="H995">
        <v>236.64</v>
      </c>
      <c r="I995" t="s">
        <v>938</v>
      </c>
      <c r="K995" t="b">
        <f>IF(Table1[[#This Row],[dispatch_date]]-Table1[[#This Row],[order_date]] &gt;=0, TRUE, FALSE)</f>
        <v>1</v>
      </c>
    </row>
    <row r="996" spans="1:11" x14ac:dyDescent="0.2">
      <c r="A996" t="s">
        <v>2572</v>
      </c>
      <c r="B996" t="s">
        <v>1059</v>
      </c>
      <c r="C996" s="9">
        <v>45959</v>
      </c>
      <c r="D996" s="9">
        <v>45961</v>
      </c>
      <c r="E996" t="s">
        <v>118</v>
      </c>
      <c r="F996" t="s">
        <v>500</v>
      </c>
      <c r="G996">
        <v>24</v>
      </c>
      <c r="H996">
        <v>315.36</v>
      </c>
      <c r="I996" t="s">
        <v>956</v>
      </c>
      <c r="K996" t="b">
        <f>IF(Table1[[#This Row],[dispatch_date]]-Table1[[#This Row],[order_date]] &gt;=0, TRUE, FALSE)</f>
        <v>1</v>
      </c>
    </row>
    <row r="997" spans="1:11" x14ac:dyDescent="0.2">
      <c r="A997" t="s">
        <v>1481</v>
      </c>
      <c r="B997" t="s">
        <v>1056</v>
      </c>
      <c r="C997" s="9">
        <v>45960</v>
      </c>
      <c r="D997" s="9">
        <v>45960</v>
      </c>
      <c r="E997" t="s">
        <v>84</v>
      </c>
      <c r="F997" t="s">
        <v>343</v>
      </c>
      <c r="G997">
        <v>12</v>
      </c>
      <c r="H997">
        <v>26.76</v>
      </c>
      <c r="I997" t="s">
        <v>912</v>
      </c>
      <c r="K997" t="b">
        <f>IF(Table1[[#This Row],[dispatch_date]]-Table1[[#This Row],[order_date]] &gt;=0, TRUE, FALSE)</f>
        <v>1</v>
      </c>
    </row>
    <row r="998" spans="1:11" x14ac:dyDescent="0.2">
      <c r="A998" t="s">
        <v>2493</v>
      </c>
      <c r="B998" t="s">
        <v>1072</v>
      </c>
      <c r="C998" s="9">
        <v>45960</v>
      </c>
      <c r="D998" s="9">
        <v>45960</v>
      </c>
      <c r="E998" t="s">
        <v>116</v>
      </c>
      <c r="F998" t="s">
        <v>503</v>
      </c>
      <c r="G998">
        <v>36</v>
      </c>
      <c r="H998">
        <v>174.24</v>
      </c>
      <c r="I998" t="s">
        <v>956</v>
      </c>
      <c r="K998" t="b">
        <f>IF(Table1[[#This Row],[dispatch_date]]-Table1[[#This Row],[order_date]] &gt;=0, TRUE, FALSE)</f>
        <v>1</v>
      </c>
    </row>
    <row r="999" spans="1:11" x14ac:dyDescent="0.2">
      <c r="A999" t="s">
        <v>1184</v>
      </c>
      <c r="B999" t="s">
        <v>991</v>
      </c>
      <c r="C999" s="9">
        <v>45961</v>
      </c>
      <c r="D999" s="9">
        <v>45962</v>
      </c>
      <c r="E999" t="s">
        <v>86</v>
      </c>
      <c r="F999" t="s">
        <v>778</v>
      </c>
      <c r="G999">
        <v>24</v>
      </c>
      <c r="H999">
        <v>76.56</v>
      </c>
      <c r="I999" t="s">
        <v>956</v>
      </c>
      <c r="K999" t="b">
        <f>IF(Table1[[#This Row],[dispatch_date]]-Table1[[#This Row],[order_date]] &gt;=0, TRUE, FALSE)</f>
        <v>1</v>
      </c>
    </row>
    <row r="1000" spans="1:11" x14ac:dyDescent="0.2">
      <c r="A1000" t="s">
        <v>1380</v>
      </c>
      <c r="B1000" t="s">
        <v>960</v>
      </c>
      <c r="C1000" s="9">
        <v>45961</v>
      </c>
      <c r="D1000" s="9">
        <v>45962</v>
      </c>
      <c r="E1000" t="s">
        <v>17</v>
      </c>
      <c r="F1000" t="s">
        <v>699</v>
      </c>
      <c r="G1000">
        <v>24</v>
      </c>
      <c r="H1000">
        <v>143.76</v>
      </c>
      <c r="I1000" t="s">
        <v>938</v>
      </c>
      <c r="K1000" t="b">
        <f>IF(Table1[[#This Row],[dispatch_date]]-Table1[[#This Row],[order_date]] &gt;=0, TRUE, FALSE)</f>
        <v>1</v>
      </c>
    </row>
    <row r="1001" spans="1:11" x14ac:dyDescent="0.2">
      <c r="A1001" t="s">
        <v>1561</v>
      </c>
      <c r="B1001" t="s">
        <v>945</v>
      </c>
      <c r="C1001" s="9">
        <v>45961</v>
      </c>
      <c r="D1001" s="9">
        <v>45962</v>
      </c>
      <c r="E1001" t="s">
        <v>63</v>
      </c>
      <c r="G1001">
        <v>48</v>
      </c>
      <c r="H1001">
        <v>446.88</v>
      </c>
      <c r="I1001" t="s">
        <v>938</v>
      </c>
      <c r="K1001" t="b">
        <f>IF(Table1[[#This Row],[dispatch_date]]-Table1[[#This Row],[order_date]] &gt;=0, TRUE, FALSE)</f>
        <v>1</v>
      </c>
    </row>
    <row r="1002" spans="1:11" x14ac:dyDescent="0.2">
      <c r="A1002" t="s">
        <v>2472</v>
      </c>
      <c r="B1002" t="s">
        <v>1064</v>
      </c>
      <c r="C1002" s="9">
        <v>45961</v>
      </c>
      <c r="D1002" s="9">
        <v>45961</v>
      </c>
      <c r="E1002" t="s">
        <v>101</v>
      </c>
      <c r="G1002">
        <v>24</v>
      </c>
      <c r="H1002">
        <v>76.61</v>
      </c>
      <c r="I1002" t="s">
        <v>1079</v>
      </c>
      <c r="K1002" t="b">
        <f>IF(Table1[[#This Row],[dispatch_date]]-Table1[[#This Row],[order_date]] &gt;=0, TRUE, FALSE)</f>
        <v>1</v>
      </c>
    </row>
    <row r="1003" spans="1:11" x14ac:dyDescent="0.2">
      <c r="A1003" t="s">
        <v>2593</v>
      </c>
      <c r="B1003" t="s">
        <v>965</v>
      </c>
      <c r="C1003" s="9">
        <v>45961</v>
      </c>
      <c r="D1003" s="9">
        <v>45962</v>
      </c>
      <c r="E1003" t="s">
        <v>8</v>
      </c>
      <c r="F1003" t="s">
        <v>252</v>
      </c>
      <c r="G1003">
        <v>24</v>
      </c>
      <c r="H1003">
        <v>144.72</v>
      </c>
      <c r="I1003" t="s">
        <v>956</v>
      </c>
      <c r="K1003" t="b">
        <f>IF(Table1[[#This Row],[dispatch_date]]-Table1[[#This Row],[order_date]] &gt;=0, TRUE, FALSE)</f>
        <v>1</v>
      </c>
    </row>
    <row r="1004" spans="1:11" x14ac:dyDescent="0.2">
      <c r="A1004" t="s">
        <v>2055</v>
      </c>
      <c r="B1004" t="s">
        <v>1031</v>
      </c>
      <c r="C1004" s="9">
        <v>45962</v>
      </c>
      <c r="D1004" s="9">
        <v>45964</v>
      </c>
      <c r="E1004" t="s">
        <v>8</v>
      </c>
      <c r="F1004" t="s">
        <v>656</v>
      </c>
      <c r="G1004">
        <v>48</v>
      </c>
      <c r="H1004">
        <v>274.97000000000003</v>
      </c>
      <c r="I1004" t="s">
        <v>956</v>
      </c>
      <c r="K1004" t="b">
        <f>IF(Table1[[#This Row],[dispatch_date]]-Table1[[#This Row],[order_date]] &gt;=0, TRUE, FALSE)</f>
        <v>1</v>
      </c>
    </row>
    <row r="1005" spans="1:11" x14ac:dyDescent="0.2">
      <c r="A1005" t="s">
        <v>1500</v>
      </c>
      <c r="B1005" t="s">
        <v>1064</v>
      </c>
      <c r="C1005" s="9">
        <v>45963</v>
      </c>
      <c r="D1005" s="9">
        <v>45963</v>
      </c>
      <c r="E1005" t="s">
        <v>118</v>
      </c>
      <c r="F1005" t="s">
        <v>500</v>
      </c>
      <c r="G1005">
        <v>12</v>
      </c>
      <c r="H1005">
        <v>157.68</v>
      </c>
      <c r="I1005" t="s">
        <v>1079</v>
      </c>
      <c r="K1005" t="b">
        <f>IF(Table1[[#This Row],[dispatch_date]]-Table1[[#This Row],[order_date]] &gt;=0, TRUE, FALSE)</f>
        <v>1</v>
      </c>
    </row>
    <row r="1006" spans="1:11" x14ac:dyDescent="0.2">
      <c r="A1006" t="s">
        <v>1552</v>
      </c>
      <c r="B1006" t="s">
        <v>983</v>
      </c>
      <c r="C1006" s="9">
        <v>45963</v>
      </c>
      <c r="D1006" s="9">
        <v>45964</v>
      </c>
      <c r="E1006" t="s">
        <v>121</v>
      </c>
      <c r="G1006">
        <v>24</v>
      </c>
      <c r="H1006">
        <v>292.75</v>
      </c>
      <c r="I1006" t="s">
        <v>916</v>
      </c>
      <c r="K1006" t="b">
        <f>IF(Table1[[#This Row],[dispatch_date]]-Table1[[#This Row],[order_date]] &gt;=0, TRUE, FALSE)</f>
        <v>1</v>
      </c>
    </row>
    <row r="1007" spans="1:11" x14ac:dyDescent="0.2">
      <c r="A1007" t="s">
        <v>2068</v>
      </c>
      <c r="B1007" t="s">
        <v>1016</v>
      </c>
      <c r="C1007" s="9">
        <v>45963</v>
      </c>
      <c r="D1007" s="9">
        <v>45963</v>
      </c>
      <c r="E1007" t="s">
        <v>97</v>
      </c>
      <c r="F1007" t="s">
        <v>800</v>
      </c>
      <c r="G1007">
        <v>6</v>
      </c>
      <c r="H1007">
        <v>32.28</v>
      </c>
      <c r="I1007" t="s">
        <v>912</v>
      </c>
      <c r="K1007" t="b">
        <f>IF(Table1[[#This Row],[dispatch_date]]-Table1[[#This Row],[order_date]] &gt;=0, TRUE, FALSE)</f>
        <v>1</v>
      </c>
    </row>
    <row r="1008" spans="1:11" x14ac:dyDescent="0.2">
      <c r="A1008" t="s">
        <v>2344</v>
      </c>
      <c r="B1008" t="s">
        <v>993</v>
      </c>
      <c r="C1008" s="9">
        <v>45963</v>
      </c>
      <c r="D1008" s="9">
        <v>45966</v>
      </c>
      <c r="E1008" t="s">
        <v>40</v>
      </c>
      <c r="G1008">
        <v>36</v>
      </c>
      <c r="H1008">
        <v>140.04</v>
      </c>
      <c r="I1008" t="s">
        <v>938</v>
      </c>
      <c r="K1008" t="b">
        <f>IF(Table1[[#This Row],[dispatch_date]]-Table1[[#This Row],[order_date]] &gt;=0, TRUE, FALSE)</f>
        <v>1</v>
      </c>
    </row>
    <row r="1009" spans="1:11" x14ac:dyDescent="0.2">
      <c r="A1009" t="s">
        <v>1736</v>
      </c>
      <c r="B1009" t="s">
        <v>1060</v>
      </c>
      <c r="C1009" s="9">
        <v>45964</v>
      </c>
      <c r="D1009" s="9">
        <v>45966</v>
      </c>
      <c r="E1009" t="s">
        <v>63</v>
      </c>
      <c r="F1009" t="s">
        <v>744</v>
      </c>
      <c r="G1009">
        <v>36</v>
      </c>
      <c r="H1009">
        <v>352.8</v>
      </c>
      <c r="I1009" t="s">
        <v>956</v>
      </c>
      <c r="J1009" t="s">
        <v>3134</v>
      </c>
      <c r="K1009" t="b">
        <f>IF(Table1[[#This Row],[dispatch_date]]-Table1[[#This Row],[order_date]] &gt;=0, TRUE, FALSE)</f>
        <v>1</v>
      </c>
    </row>
    <row r="1010" spans="1:11" x14ac:dyDescent="0.2">
      <c r="A1010" t="s">
        <v>2810</v>
      </c>
      <c r="B1010" t="s">
        <v>971</v>
      </c>
      <c r="C1010" s="9">
        <v>45964</v>
      </c>
      <c r="D1010" s="9">
        <v>45965</v>
      </c>
      <c r="E1010" t="s">
        <v>36</v>
      </c>
      <c r="F1010" t="s">
        <v>428</v>
      </c>
      <c r="G1010">
        <v>12</v>
      </c>
      <c r="H1010">
        <v>19.489999999999998</v>
      </c>
      <c r="I1010" t="s">
        <v>956</v>
      </c>
      <c r="K1010" t="b">
        <f>IF(Table1[[#This Row],[dispatch_date]]-Table1[[#This Row],[order_date]] &gt;=0, TRUE, FALSE)</f>
        <v>1</v>
      </c>
    </row>
    <row r="1011" spans="1:11" x14ac:dyDescent="0.2">
      <c r="A1011" t="s">
        <v>2156</v>
      </c>
      <c r="B1011" t="s">
        <v>1024</v>
      </c>
      <c r="C1011" s="9">
        <v>45965</v>
      </c>
      <c r="D1011" s="9">
        <v>45968</v>
      </c>
      <c r="E1011" t="s">
        <v>74</v>
      </c>
      <c r="F1011" t="s">
        <v>537</v>
      </c>
      <c r="G1011">
        <v>48</v>
      </c>
      <c r="H1011">
        <v>103.2</v>
      </c>
      <c r="I1011" t="s">
        <v>938</v>
      </c>
      <c r="J1011" t="s">
        <v>3134</v>
      </c>
      <c r="K1011" t="b">
        <f>IF(Table1[[#This Row],[dispatch_date]]-Table1[[#This Row],[order_date]] &gt;=0, TRUE, FALSE)</f>
        <v>1</v>
      </c>
    </row>
    <row r="1012" spans="1:11" x14ac:dyDescent="0.2">
      <c r="A1012" t="s">
        <v>2438</v>
      </c>
      <c r="B1012" t="s">
        <v>942</v>
      </c>
      <c r="C1012" s="9">
        <v>45965</v>
      </c>
      <c r="D1012" s="9">
        <v>45966</v>
      </c>
      <c r="E1012" t="s">
        <v>30</v>
      </c>
      <c r="F1012" t="s">
        <v>613</v>
      </c>
      <c r="G1012">
        <v>6</v>
      </c>
      <c r="H1012">
        <v>14.4</v>
      </c>
      <c r="I1012" t="s">
        <v>916</v>
      </c>
      <c r="K1012" t="b">
        <f>IF(Table1[[#This Row],[dispatch_date]]-Table1[[#This Row],[order_date]] &gt;=0, TRUE, FALSE)</f>
        <v>1</v>
      </c>
    </row>
    <row r="1013" spans="1:11" x14ac:dyDescent="0.2">
      <c r="A1013" t="s">
        <v>2755</v>
      </c>
      <c r="B1013" t="s">
        <v>910</v>
      </c>
      <c r="C1013" s="9">
        <v>45758</v>
      </c>
      <c r="D1013" s="9">
        <v>45759</v>
      </c>
      <c r="E1013" t="s">
        <v>25</v>
      </c>
      <c r="F1013" t="s">
        <v>709</v>
      </c>
      <c r="G1013">
        <v>24</v>
      </c>
      <c r="H1013">
        <v>126.54</v>
      </c>
      <c r="I1013" t="s">
        <v>912</v>
      </c>
      <c r="J1013" t="s">
        <v>3134</v>
      </c>
      <c r="K1013" t="b">
        <f>IF(Table1[[#This Row],[dispatch_date]]-Table1[[#This Row],[order_date]] &gt;=0, TRUE, FALSE)</f>
        <v>1</v>
      </c>
    </row>
    <row r="1014" spans="1:11" x14ac:dyDescent="0.2">
      <c r="A1014" t="s">
        <v>1221</v>
      </c>
      <c r="B1014" t="s">
        <v>981</v>
      </c>
      <c r="C1014" s="9">
        <v>45966</v>
      </c>
      <c r="D1014" s="9">
        <v>45966</v>
      </c>
      <c r="E1014" t="s">
        <v>105</v>
      </c>
      <c r="F1014" t="s">
        <v>423</v>
      </c>
      <c r="G1014">
        <v>48</v>
      </c>
      <c r="H1014">
        <v>285.60000000000002</v>
      </c>
      <c r="I1014" t="s">
        <v>916</v>
      </c>
      <c r="J1014" t="s">
        <v>3134</v>
      </c>
      <c r="K1014" t="b">
        <f>IF(Table1[[#This Row],[dispatch_date]]-Table1[[#This Row],[order_date]] &gt;=0, TRUE, FALSE)</f>
        <v>1</v>
      </c>
    </row>
    <row r="1015" spans="1:11" x14ac:dyDescent="0.2">
      <c r="A1015" t="s">
        <v>1433</v>
      </c>
      <c r="B1015" t="s">
        <v>960</v>
      </c>
      <c r="C1015" s="9">
        <v>45966</v>
      </c>
      <c r="D1015" s="9">
        <v>45968</v>
      </c>
      <c r="E1015" t="s">
        <v>28</v>
      </c>
      <c r="F1015" t="s">
        <v>329</v>
      </c>
      <c r="G1015">
        <v>12</v>
      </c>
      <c r="H1015">
        <v>68.88</v>
      </c>
      <c r="I1015" t="s">
        <v>956</v>
      </c>
      <c r="K1015" t="b">
        <f>IF(Table1[[#This Row],[dispatch_date]]-Table1[[#This Row],[order_date]] &gt;=0, TRUE, FALSE)</f>
        <v>1</v>
      </c>
    </row>
    <row r="1016" spans="1:11" x14ac:dyDescent="0.2">
      <c r="A1016" t="s">
        <v>1100</v>
      </c>
      <c r="B1016" t="s">
        <v>985</v>
      </c>
      <c r="C1016" s="9">
        <v>45967</v>
      </c>
      <c r="D1016" s="9">
        <v>45969</v>
      </c>
      <c r="E1016" t="s">
        <v>67</v>
      </c>
      <c r="F1016" t="s">
        <v>223</v>
      </c>
      <c r="G1016">
        <v>12</v>
      </c>
      <c r="H1016">
        <v>63.6</v>
      </c>
      <c r="I1016" t="s">
        <v>1079</v>
      </c>
      <c r="K1016" t="b">
        <f>IF(Table1[[#This Row],[dispatch_date]]-Table1[[#This Row],[order_date]] &gt;=0, TRUE, FALSE)</f>
        <v>1</v>
      </c>
    </row>
    <row r="1017" spans="1:11" x14ac:dyDescent="0.2">
      <c r="A1017" t="s">
        <v>1424</v>
      </c>
      <c r="B1017" t="s">
        <v>1049</v>
      </c>
      <c r="C1017" s="9">
        <v>45967</v>
      </c>
      <c r="D1017" s="9">
        <v>45967</v>
      </c>
      <c r="E1017" t="s">
        <v>116</v>
      </c>
      <c r="F1017" t="s">
        <v>386</v>
      </c>
      <c r="G1017">
        <v>6</v>
      </c>
      <c r="H1017">
        <v>29.04</v>
      </c>
      <c r="I1017" t="s">
        <v>938</v>
      </c>
      <c r="K1017" t="b">
        <f>IF(Table1[[#This Row],[dispatch_date]]-Table1[[#This Row],[order_date]] &gt;=0, TRUE, FALSE)</f>
        <v>1</v>
      </c>
    </row>
    <row r="1018" spans="1:11" x14ac:dyDescent="0.2">
      <c r="A1018" t="s">
        <v>1595</v>
      </c>
      <c r="B1018" t="s">
        <v>910</v>
      </c>
      <c r="C1018" s="9">
        <v>45967</v>
      </c>
      <c r="D1018" s="9">
        <v>45970</v>
      </c>
      <c r="E1018" t="s">
        <v>125</v>
      </c>
      <c r="G1018">
        <v>12</v>
      </c>
      <c r="H1018">
        <v>91.56</v>
      </c>
      <c r="I1018" t="s">
        <v>912</v>
      </c>
      <c r="K1018" t="b">
        <f>IF(Table1[[#This Row],[dispatch_date]]-Table1[[#This Row],[order_date]] &gt;=0, TRUE, FALSE)</f>
        <v>1</v>
      </c>
    </row>
    <row r="1019" spans="1:11" x14ac:dyDescent="0.2">
      <c r="A1019" t="s">
        <v>1828</v>
      </c>
      <c r="B1019" t="s">
        <v>985</v>
      </c>
      <c r="C1019" s="9">
        <v>45967</v>
      </c>
      <c r="D1019" s="9">
        <v>45967</v>
      </c>
      <c r="E1019" t="s">
        <v>88</v>
      </c>
      <c r="F1019" t="s">
        <v>648</v>
      </c>
      <c r="G1019">
        <v>24</v>
      </c>
      <c r="H1019">
        <v>99.12</v>
      </c>
      <c r="I1019" t="s">
        <v>1079</v>
      </c>
      <c r="K1019" t="b">
        <f>IF(Table1[[#This Row],[dispatch_date]]-Table1[[#This Row],[order_date]] &gt;=0, TRUE, FALSE)</f>
        <v>1</v>
      </c>
    </row>
    <row r="1020" spans="1:11" x14ac:dyDescent="0.2">
      <c r="A1020" t="s">
        <v>1203</v>
      </c>
      <c r="B1020" t="s">
        <v>914</v>
      </c>
      <c r="C1020" s="9">
        <v>45968</v>
      </c>
      <c r="D1020" s="9"/>
      <c r="E1020" t="s">
        <v>65</v>
      </c>
      <c r="F1020" t="s">
        <v>672</v>
      </c>
      <c r="G1020">
        <v>24</v>
      </c>
      <c r="H1020">
        <v>318.48</v>
      </c>
      <c r="I1020" t="s">
        <v>916</v>
      </c>
      <c r="K1020" t="b">
        <f>IF(Table1[[#This Row],[dispatch_date]]-Table1[[#This Row],[order_date]] &gt;=0, TRUE, FALSE)</f>
        <v>0</v>
      </c>
    </row>
    <row r="1021" spans="1:11" x14ac:dyDescent="0.2">
      <c r="A1021" t="s">
        <v>1551</v>
      </c>
      <c r="B1021" t="s">
        <v>1001</v>
      </c>
      <c r="C1021" s="9">
        <v>45968</v>
      </c>
      <c r="D1021" s="9">
        <v>45971</v>
      </c>
      <c r="E1021" t="s">
        <v>42</v>
      </c>
      <c r="F1021" t="s">
        <v>695</v>
      </c>
      <c r="G1021">
        <v>36</v>
      </c>
      <c r="H1021">
        <v>117.72</v>
      </c>
      <c r="I1021" t="s">
        <v>927</v>
      </c>
      <c r="K1021" t="b">
        <f>IF(Table1[[#This Row],[dispatch_date]]-Table1[[#This Row],[order_date]] &gt;=0, TRUE, FALSE)</f>
        <v>1</v>
      </c>
    </row>
    <row r="1022" spans="1:11" x14ac:dyDescent="0.2">
      <c r="A1022" t="s">
        <v>1742</v>
      </c>
      <c r="B1022" t="s">
        <v>1056</v>
      </c>
      <c r="C1022" s="9">
        <v>45968</v>
      </c>
      <c r="D1022" s="9">
        <v>45969</v>
      </c>
      <c r="E1022" t="s">
        <v>103</v>
      </c>
      <c r="F1022" t="s">
        <v>776</v>
      </c>
      <c r="G1022">
        <v>36</v>
      </c>
      <c r="H1022">
        <v>259.56</v>
      </c>
      <c r="I1022" t="s">
        <v>912</v>
      </c>
      <c r="K1022" t="b">
        <f>IF(Table1[[#This Row],[dispatch_date]]-Table1[[#This Row],[order_date]] &gt;=0, TRUE, FALSE)</f>
        <v>1</v>
      </c>
    </row>
    <row r="1023" spans="1:11" x14ac:dyDescent="0.2">
      <c r="A1023" t="s">
        <v>1918</v>
      </c>
      <c r="B1023" t="s">
        <v>910</v>
      </c>
      <c r="C1023" s="9">
        <v>45968</v>
      </c>
      <c r="D1023" s="9">
        <v>45968</v>
      </c>
      <c r="E1023" t="s">
        <v>112</v>
      </c>
      <c r="G1023">
        <v>24</v>
      </c>
      <c r="H1023">
        <v>144.24</v>
      </c>
      <c r="I1023" t="s">
        <v>912</v>
      </c>
      <c r="K1023" t="b">
        <f>IF(Table1[[#This Row],[dispatch_date]]-Table1[[#This Row],[order_date]] &gt;=0, TRUE, FALSE)</f>
        <v>1</v>
      </c>
    </row>
    <row r="1024" spans="1:11" x14ac:dyDescent="0.2">
      <c r="A1024" t="s">
        <v>1932</v>
      </c>
      <c r="B1024" t="s">
        <v>1001</v>
      </c>
      <c r="C1024" s="9">
        <v>45968</v>
      </c>
      <c r="D1024" s="9">
        <v>45968</v>
      </c>
      <c r="E1024" t="s">
        <v>80</v>
      </c>
      <c r="F1024" t="s">
        <v>352</v>
      </c>
      <c r="G1024">
        <v>12</v>
      </c>
      <c r="H1024">
        <v>71.400000000000006</v>
      </c>
      <c r="I1024" t="s">
        <v>916</v>
      </c>
      <c r="J1024" t="s">
        <v>3134</v>
      </c>
      <c r="K1024" t="b">
        <f>IF(Table1[[#This Row],[dispatch_date]]-Table1[[#This Row],[order_date]] &gt;=0, TRUE, FALSE)</f>
        <v>1</v>
      </c>
    </row>
    <row r="1025" spans="1:11" x14ac:dyDescent="0.2">
      <c r="A1025" t="s">
        <v>2353</v>
      </c>
      <c r="B1025" t="s">
        <v>1069</v>
      </c>
      <c r="C1025" s="9">
        <v>45968</v>
      </c>
      <c r="D1025" s="9">
        <v>45969</v>
      </c>
      <c r="E1025" t="s">
        <v>101</v>
      </c>
      <c r="F1025" t="s">
        <v>573</v>
      </c>
      <c r="G1025">
        <v>36</v>
      </c>
      <c r="H1025">
        <v>120.96</v>
      </c>
      <c r="I1025" t="s">
        <v>956</v>
      </c>
      <c r="K1025" t="b">
        <f>IF(Table1[[#This Row],[dispatch_date]]-Table1[[#This Row],[order_date]] &gt;=0, TRUE, FALSE)</f>
        <v>1</v>
      </c>
    </row>
    <row r="1026" spans="1:11" x14ac:dyDescent="0.2">
      <c r="A1026" t="s">
        <v>1137</v>
      </c>
      <c r="B1026" t="s">
        <v>1077</v>
      </c>
      <c r="C1026" s="9">
        <v>45969</v>
      </c>
      <c r="D1026" s="9">
        <v>45970</v>
      </c>
      <c r="E1026" t="s">
        <v>38</v>
      </c>
      <c r="F1026" t="s">
        <v>889</v>
      </c>
      <c r="G1026">
        <v>12</v>
      </c>
      <c r="H1026">
        <v>61.2</v>
      </c>
      <c r="I1026" t="s">
        <v>1079</v>
      </c>
      <c r="K1026" t="b">
        <f>IF(Table1[[#This Row],[dispatch_date]]-Table1[[#This Row],[order_date]] &gt;=0, TRUE, FALSE)</f>
        <v>1</v>
      </c>
    </row>
    <row r="1027" spans="1:11" x14ac:dyDescent="0.2">
      <c r="A1027" t="s">
        <v>2169</v>
      </c>
      <c r="B1027" t="s">
        <v>1052</v>
      </c>
      <c r="C1027" s="9">
        <v>45969</v>
      </c>
      <c r="D1027" s="9">
        <v>45969</v>
      </c>
      <c r="E1027" t="s">
        <v>88</v>
      </c>
      <c r="F1027" t="s">
        <v>648</v>
      </c>
      <c r="G1027">
        <v>24</v>
      </c>
      <c r="H1027">
        <v>99.12</v>
      </c>
      <c r="I1027" t="s">
        <v>956</v>
      </c>
      <c r="K1027" t="b">
        <f>IF(Table1[[#This Row],[dispatch_date]]-Table1[[#This Row],[order_date]] &gt;=0, TRUE, FALSE)</f>
        <v>1</v>
      </c>
    </row>
    <row r="1028" spans="1:11" x14ac:dyDescent="0.2">
      <c r="A1028" t="s">
        <v>2449</v>
      </c>
      <c r="B1028" t="s">
        <v>1004</v>
      </c>
      <c r="C1028" s="9">
        <v>45969</v>
      </c>
      <c r="D1028" s="9">
        <v>45971</v>
      </c>
      <c r="E1028" t="s">
        <v>103</v>
      </c>
      <c r="G1028">
        <v>12</v>
      </c>
      <c r="H1028">
        <v>82.19</v>
      </c>
      <c r="I1028" t="s">
        <v>927</v>
      </c>
      <c r="K1028" t="b">
        <f>IF(Table1[[#This Row],[dispatch_date]]-Table1[[#This Row],[order_date]] &gt;=0, TRUE, FALSE)</f>
        <v>1</v>
      </c>
    </row>
    <row r="1029" spans="1:11" x14ac:dyDescent="0.2">
      <c r="A1029" t="s">
        <v>2623</v>
      </c>
      <c r="B1029" t="s">
        <v>993</v>
      </c>
      <c r="C1029" s="9">
        <v>45969</v>
      </c>
      <c r="D1029" s="9">
        <v>45972</v>
      </c>
      <c r="E1029" t="s">
        <v>108</v>
      </c>
      <c r="F1029" t="s">
        <v>564</v>
      </c>
      <c r="G1029">
        <v>36</v>
      </c>
      <c r="H1029">
        <v>257.04000000000002</v>
      </c>
      <c r="I1029" t="s">
        <v>927</v>
      </c>
      <c r="K1029" t="b">
        <f>IF(Table1[[#This Row],[dispatch_date]]-Table1[[#This Row],[order_date]] &gt;=0, TRUE, FALSE)</f>
        <v>1</v>
      </c>
    </row>
    <row r="1030" spans="1:11" x14ac:dyDescent="0.2">
      <c r="A1030" t="s">
        <v>2617</v>
      </c>
      <c r="B1030" t="s">
        <v>901</v>
      </c>
      <c r="C1030" s="9">
        <v>45970</v>
      </c>
      <c r="D1030" s="9">
        <v>45972</v>
      </c>
      <c r="E1030" t="s">
        <v>116</v>
      </c>
      <c r="F1030" t="s">
        <v>870</v>
      </c>
      <c r="G1030">
        <v>24</v>
      </c>
      <c r="H1030">
        <v>110.35</v>
      </c>
      <c r="I1030" t="s">
        <v>956</v>
      </c>
      <c r="K1030" t="b">
        <f>IF(Table1[[#This Row],[dispatch_date]]-Table1[[#This Row],[order_date]] &gt;=0, TRUE, FALSE)</f>
        <v>1</v>
      </c>
    </row>
    <row r="1031" spans="1:11" x14ac:dyDescent="0.2">
      <c r="A1031" t="s">
        <v>1174</v>
      </c>
      <c r="B1031" t="s">
        <v>983</v>
      </c>
      <c r="C1031" s="9">
        <v>45971</v>
      </c>
      <c r="D1031" s="9">
        <v>45973</v>
      </c>
      <c r="E1031" t="s">
        <v>95</v>
      </c>
      <c r="F1031" t="s">
        <v>601</v>
      </c>
      <c r="G1031">
        <v>6</v>
      </c>
      <c r="H1031">
        <v>23.64</v>
      </c>
      <c r="I1031" t="s">
        <v>1079</v>
      </c>
      <c r="K1031" t="b">
        <f>IF(Table1[[#This Row],[dispatch_date]]-Table1[[#This Row],[order_date]] &gt;=0, TRUE, FALSE)</f>
        <v>1</v>
      </c>
    </row>
    <row r="1032" spans="1:11" x14ac:dyDescent="0.2">
      <c r="A1032" t="s">
        <v>1532</v>
      </c>
      <c r="B1032" t="s">
        <v>951</v>
      </c>
      <c r="C1032" s="9">
        <v>45971</v>
      </c>
      <c r="D1032" s="9">
        <v>45974</v>
      </c>
      <c r="E1032" t="s">
        <v>48</v>
      </c>
      <c r="F1032" t="s">
        <v>247</v>
      </c>
      <c r="G1032">
        <v>24</v>
      </c>
      <c r="H1032">
        <v>161.76</v>
      </c>
      <c r="I1032" t="s">
        <v>956</v>
      </c>
      <c r="K1032" t="b">
        <f>IF(Table1[[#This Row],[dispatch_date]]-Table1[[#This Row],[order_date]] &gt;=0, TRUE, FALSE)</f>
        <v>1</v>
      </c>
    </row>
    <row r="1033" spans="1:11" x14ac:dyDescent="0.2">
      <c r="A1033" t="s">
        <v>1725</v>
      </c>
      <c r="B1033" t="s">
        <v>1060</v>
      </c>
      <c r="C1033" s="9">
        <v>45971</v>
      </c>
      <c r="D1033" s="9">
        <v>45971</v>
      </c>
      <c r="E1033" t="s">
        <v>40</v>
      </c>
      <c r="G1033">
        <v>24</v>
      </c>
      <c r="H1033">
        <v>93.36</v>
      </c>
      <c r="I1033" t="s">
        <v>956</v>
      </c>
      <c r="K1033" t="b">
        <f>IF(Table1[[#This Row],[dispatch_date]]-Table1[[#This Row],[order_date]] &gt;=0, TRUE, FALSE)</f>
        <v>1</v>
      </c>
    </row>
    <row r="1034" spans="1:11" x14ac:dyDescent="0.2">
      <c r="A1034" t="s">
        <v>1965</v>
      </c>
      <c r="B1034" t="s">
        <v>1031</v>
      </c>
      <c r="C1034" s="9">
        <v>45971</v>
      </c>
      <c r="D1034" s="9">
        <v>45972</v>
      </c>
      <c r="E1034" t="s">
        <v>38</v>
      </c>
      <c r="F1034" t="s">
        <v>889</v>
      </c>
      <c r="G1034">
        <v>6</v>
      </c>
      <c r="H1034">
        <v>29.07</v>
      </c>
      <c r="I1034" t="s">
        <v>956</v>
      </c>
      <c r="K1034" t="b">
        <f>IF(Table1[[#This Row],[dispatch_date]]-Table1[[#This Row],[order_date]] &gt;=0, TRUE, FALSE)</f>
        <v>1</v>
      </c>
    </row>
    <row r="1035" spans="1:11" x14ac:dyDescent="0.2">
      <c r="A1035" t="s">
        <v>2583</v>
      </c>
      <c r="B1035" t="s">
        <v>996</v>
      </c>
      <c r="C1035" s="9">
        <v>45971</v>
      </c>
      <c r="D1035" s="9"/>
      <c r="E1035" t="s">
        <v>28</v>
      </c>
      <c r="F1035" t="s">
        <v>514</v>
      </c>
      <c r="G1035">
        <v>36</v>
      </c>
      <c r="H1035">
        <v>206.64</v>
      </c>
      <c r="I1035" t="s">
        <v>938</v>
      </c>
      <c r="K1035" t="b">
        <f>IF(Table1[[#This Row],[dispatch_date]]-Table1[[#This Row],[order_date]] &gt;=0, TRUE, FALSE)</f>
        <v>0</v>
      </c>
    </row>
    <row r="1036" spans="1:11" x14ac:dyDescent="0.2">
      <c r="A1036" t="s">
        <v>2754</v>
      </c>
      <c r="B1036" t="s">
        <v>1074</v>
      </c>
      <c r="C1036" s="9">
        <v>45971</v>
      </c>
      <c r="D1036" s="9">
        <v>45972</v>
      </c>
      <c r="E1036" t="s">
        <v>50</v>
      </c>
      <c r="F1036" t="s">
        <v>558</v>
      </c>
      <c r="G1036">
        <v>72</v>
      </c>
      <c r="H1036">
        <v>439.2</v>
      </c>
      <c r="I1036" t="s">
        <v>916</v>
      </c>
      <c r="K1036" t="b">
        <f>IF(Table1[[#This Row],[dispatch_date]]-Table1[[#This Row],[order_date]] &gt;=0, TRUE, FALSE)</f>
        <v>1</v>
      </c>
    </row>
    <row r="1037" spans="1:11" x14ac:dyDescent="0.2">
      <c r="A1037" t="s">
        <v>2869</v>
      </c>
      <c r="B1037" t="s">
        <v>968</v>
      </c>
      <c r="C1037" s="9">
        <v>45971</v>
      </c>
      <c r="D1037" s="9">
        <v>45972</v>
      </c>
      <c r="E1037" t="s">
        <v>110</v>
      </c>
      <c r="F1037" t="s">
        <v>476</v>
      </c>
      <c r="G1037">
        <v>12</v>
      </c>
      <c r="H1037">
        <v>39.24</v>
      </c>
      <c r="I1037" t="s">
        <v>938</v>
      </c>
      <c r="K1037" t="b">
        <f>IF(Table1[[#This Row],[dispatch_date]]-Table1[[#This Row],[order_date]] &gt;=0, TRUE, FALSE)</f>
        <v>1</v>
      </c>
    </row>
    <row r="1038" spans="1:11" x14ac:dyDescent="0.2">
      <c r="A1038" t="s">
        <v>1146</v>
      </c>
      <c r="B1038" t="s">
        <v>1034</v>
      </c>
      <c r="C1038" s="9">
        <v>45973</v>
      </c>
      <c r="D1038" s="9">
        <v>45976</v>
      </c>
      <c r="E1038" t="s">
        <v>40</v>
      </c>
      <c r="F1038" t="s">
        <v>892</v>
      </c>
      <c r="G1038">
        <v>6</v>
      </c>
      <c r="H1038">
        <v>23.34</v>
      </c>
      <c r="I1038" t="s">
        <v>938</v>
      </c>
      <c r="K1038" t="b">
        <f>IF(Table1[[#This Row],[dispatch_date]]-Table1[[#This Row],[order_date]] &gt;=0, TRUE, FALSE)</f>
        <v>1</v>
      </c>
    </row>
    <row r="1039" spans="1:11" x14ac:dyDescent="0.2">
      <c r="A1039" t="s">
        <v>1377</v>
      </c>
      <c r="B1039" t="s">
        <v>954</v>
      </c>
      <c r="C1039" s="9">
        <v>45973</v>
      </c>
      <c r="D1039" s="9">
        <v>45973</v>
      </c>
      <c r="E1039" t="s">
        <v>116</v>
      </c>
      <c r="F1039" t="s">
        <v>535</v>
      </c>
      <c r="G1039">
        <v>36</v>
      </c>
      <c r="H1039">
        <v>174.24</v>
      </c>
      <c r="I1039" t="s">
        <v>956</v>
      </c>
      <c r="K1039" t="b">
        <f>IF(Table1[[#This Row],[dispatch_date]]-Table1[[#This Row],[order_date]] &gt;=0, TRUE, FALSE)</f>
        <v>1</v>
      </c>
    </row>
    <row r="1040" spans="1:11" x14ac:dyDescent="0.2">
      <c r="A1040" t="s">
        <v>1443</v>
      </c>
      <c r="B1040" t="s">
        <v>1049</v>
      </c>
      <c r="C1040" s="9">
        <v>46002</v>
      </c>
      <c r="D1040" s="9">
        <v>46004</v>
      </c>
      <c r="E1040" t="s">
        <v>125</v>
      </c>
      <c r="F1040" t="s">
        <v>270</v>
      </c>
      <c r="G1040">
        <v>12</v>
      </c>
      <c r="H1040">
        <v>91.56</v>
      </c>
      <c r="I1040" t="s">
        <v>938</v>
      </c>
      <c r="K1040" t="b">
        <f>IF(Table1[[#This Row],[dispatch_date]]-Table1[[#This Row],[order_date]] &gt;=0, TRUE, FALSE)</f>
        <v>1</v>
      </c>
    </row>
    <row r="1041" spans="1:11" x14ac:dyDescent="0.2">
      <c r="A1041" t="s">
        <v>2738</v>
      </c>
      <c r="B1041" t="s">
        <v>979</v>
      </c>
      <c r="C1041" s="9">
        <v>46002</v>
      </c>
      <c r="D1041" s="9"/>
      <c r="E1041" t="s">
        <v>14</v>
      </c>
      <c r="F1041" t="s">
        <v>375</v>
      </c>
      <c r="G1041">
        <v>24</v>
      </c>
      <c r="H1041">
        <v>83.22</v>
      </c>
      <c r="I1041" t="s">
        <v>927</v>
      </c>
      <c r="K1041" t="b">
        <f>IF(Table1[[#This Row],[dispatch_date]]-Table1[[#This Row],[order_date]] &gt;=0, TRUE, FALSE)</f>
        <v>0</v>
      </c>
    </row>
    <row r="1042" spans="1:11" x14ac:dyDescent="0.2">
      <c r="A1042" t="s">
        <v>1273</v>
      </c>
      <c r="B1042" t="s">
        <v>960</v>
      </c>
      <c r="C1042" s="9">
        <v>45974</v>
      </c>
      <c r="D1042" s="9">
        <v>45977</v>
      </c>
      <c r="E1042" t="s">
        <v>30</v>
      </c>
      <c r="G1042">
        <v>12</v>
      </c>
      <c r="H1042">
        <v>27.36</v>
      </c>
      <c r="I1042" t="s">
        <v>938</v>
      </c>
      <c r="K1042" t="b">
        <f>IF(Table1[[#This Row],[dispatch_date]]-Table1[[#This Row],[order_date]] &gt;=0, TRUE, FALSE)</f>
        <v>1</v>
      </c>
    </row>
    <row r="1043" spans="1:11" x14ac:dyDescent="0.2">
      <c r="A1043" t="s">
        <v>1407</v>
      </c>
      <c r="B1043" t="s">
        <v>918</v>
      </c>
      <c r="C1043" s="9">
        <v>45974</v>
      </c>
      <c r="D1043" s="9">
        <v>45975</v>
      </c>
      <c r="E1043" t="s">
        <v>86</v>
      </c>
      <c r="F1043" t="s">
        <v>310</v>
      </c>
      <c r="G1043">
        <v>12</v>
      </c>
      <c r="H1043">
        <v>38.28</v>
      </c>
      <c r="I1043" t="s">
        <v>912</v>
      </c>
      <c r="K1043" t="b">
        <f>IF(Table1[[#This Row],[dispatch_date]]-Table1[[#This Row],[order_date]] &gt;=0, TRUE, FALSE)</f>
        <v>1</v>
      </c>
    </row>
    <row r="1044" spans="1:11" x14ac:dyDescent="0.2">
      <c r="A1044" t="s">
        <v>2239</v>
      </c>
      <c r="B1044" t="s">
        <v>1074</v>
      </c>
      <c r="C1044" s="9">
        <v>45974</v>
      </c>
      <c r="D1044" s="9">
        <v>45976</v>
      </c>
      <c r="E1044" t="s">
        <v>112</v>
      </c>
      <c r="F1044" t="s">
        <v>481</v>
      </c>
      <c r="G1044">
        <v>12</v>
      </c>
      <c r="H1044">
        <v>72.12</v>
      </c>
      <c r="I1044" t="s">
        <v>916</v>
      </c>
      <c r="K1044" t="b">
        <f>IF(Table1[[#This Row],[dispatch_date]]-Table1[[#This Row],[order_date]] &gt;=0, TRUE, FALSE)</f>
        <v>1</v>
      </c>
    </row>
    <row r="1045" spans="1:11" x14ac:dyDescent="0.2">
      <c r="A1045" t="s">
        <v>2649</v>
      </c>
      <c r="B1045" t="s">
        <v>954</v>
      </c>
      <c r="C1045" s="9">
        <v>45974</v>
      </c>
      <c r="D1045" s="9">
        <v>45974</v>
      </c>
      <c r="E1045" t="s">
        <v>88</v>
      </c>
      <c r="G1045">
        <v>6</v>
      </c>
      <c r="H1045">
        <v>24.78</v>
      </c>
      <c r="I1045" t="s">
        <v>956</v>
      </c>
      <c r="K1045" t="b">
        <f>IF(Table1[[#This Row],[dispatch_date]]-Table1[[#This Row],[order_date]] &gt;=0, TRUE, FALSE)</f>
        <v>1</v>
      </c>
    </row>
    <row r="1046" spans="1:11" x14ac:dyDescent="0.2">
      <c r="A1046" t="s">
        <v>1541</v>
      </c>
      <c r="B1046" t="s">
        <v>1034</v>
      </c>
      <c r="C1046" s="9">
        <v>45975</v>
      </c>
      <c r="D1046" s="9">
        <v>45978</v>
      </c>
      <c r="E1046" t="s">
        <v>86</v>
      </c>
      <c r="F1046" t="s">
        <v>785</v>
      </c>
      <c r="G1046">
        <v>6</v>
      </c>
      <c r="H1046">
        <v>19.14</v>
      </c>
      <c r="I1046" t="s">
        <v>912</v>
      </c>
      <c r="K1046" t="b">
        <f>IF(Table1[[#This Row],[dispatch_date]]-Table1[[#This Row],[order_date]] &gt;=0, TRUE, FALSE)</f>
        <v>1</v>
      </c>
    </row>
    <row r="1047" spans="1:11" x14ac:dyDescent="0.2">
      <c r="A1047" t="s">
        <v>1627</v>
      </c>
      <c r="B1047" t="s">
        <v>996</v>
      </c>
      <c r="C1047" s="9">
        <v>45975</v>
      </c>
      <c r="D1047" s="9">
        <v>45975</v>
      </c>
      <c r="E1047" t="s">
        <v>95</v>
      </c>
      <c r="F1047" t="s">
        <v>739</v>
      </c>
      <c r="G1047">
        <v>12</v>
      </c>
      <c r="H1047">
        <v>47.28</v>
      </c>
      <c r="I1047" t="s">
        <v>956</v>
      </c>
      <c r="K1047" t="b">
        <f>IF(Table1[[#This Row],[dispatch_date]]-Table1[[#This Row],[order_date]] &gt;=0, TRUE, FALSE)</f>
        <v>1</v>
      </c>
    </row>
    <row r="1048" spans="1:11" x14ac:dyDescent="0.2">
      <c r="A1048" t="s">
        <v>1827</v>
      </c>
      <c r="B1048" t="s">
        <v>998</v>
      </c>
      <c r="C1048" s="9">
        <v>45975</v>
      </c>
      <c r="D1048" s="9">
        <v>45975</v>
      </c>
      <c r="E1048" t="s">
        <v>28</v>
      </c>
      <c r="G1048">
        <v>72</v>
      </c>
      <c r="H1048">
        <v>392.62</v>
      </c>
      <c r="I1048" t="s">
        <v>938</v>
      </c>
      <c r="K1048" t="b">
        <f>IF(Table1[[#This Row],[dispatch_date]]-Table1[[#This Row],[order_date]] &gt;=0, TRUE, FALSE)</f>
        <v>1</v>
      </c>
    </row>
    <row r="1049" spans="1:11" x14ac:dyDescent="0.2">
      <c r="A1049" t="s">
        <v>1897</v>
      </c>
      <c r="B1049" t="s">
        <v>929</v>
      </c>
      <c r="C1049" s="9">
        <v>45975</v>
      </c>
      <c r="D1049" s="9">
        <v>45976</v>
      </c>
      <c r="E1049" t="s">
        <v>56</v>
      </c>
      <c r="F1049" t="s">
        <v>467</v>
      </c>
      <c r="G1049">
        <v>12</v>
      </c>
      <c r="H1049">
        <v>70.56</v>
      </c>
      <c r="I1049" t="s">
        <v>912</v>
      </c>
      <c r="K1049" t="b">
        <f>IF(Table1[[#This Row],[dispatch_date]]-Table1[[#This Row],[order_date]] &gt;=0, TRUE, FALSE)</f>
        <v>1</v>
      </c>
    </row>
    <row r="1050" spans="1:11" x14ac:dyDescent="0.2">
      <c r="A1050" t="s">
        <v>2284</v>
      </c>
      <c r="B1050" t="s">
        <v>991</v>
      </c>
      <c r="C1050" s="9">
        <v>45975</v>
      </c>
      <c r="D1050" s="9">
        <v>45978</v>
      </c>
      <c r="E1050" t="s">
        <v>71</v>
      </c>
      <c r="G1050">
        <v>24</v>
      </c>
      <c r="H1050">
        <v>228.24</v>
      </c>
      <c r="I1050" t="s">
        <v>956</v>
      </c>
      <c r="K1050" t="b">
        <f>IF(Table1[[#This Row],[dispatch_date]]-Table1[[#This Row],[order_date]] &gt;=0, TRUE, FALSE)</f>
        <v>1</v>
      </c>
    </row>
    <row r="1051" spans="1:11" x14ac:dyDescent="0.2">
      <c r="A1051" t="s">
        <v>2517</v>
      </c>
      <c r="B1051" t="s">
        <v>1009</v>
      </c>
      <c r="C1051" s="9">
        <v>45975</v>
      </c>
      <c r="D1051" s="9">
        <v>45978</v>
      </c>
      <c r="E1051" t="s">
        <v>44</v>
      </c>
      <c r="F1051" t="s">
        <v>693</v>
      </c>
      <c r="G1051">
        <v>72</v>
      </c>
      <c r="H1051">
        <v>435.6</v>
      </c>
      <c r="I1051" t="s">
        <v>912</v>
      </c>
      <c r="K1051" t="b">
        <f>IF(Table1[[#This Row],[dispatch_date]]-Table1[[#This Row],[order_date]] &gt;=0, TRUE, FALSE)</f>
        <v>1</v>
      </c>
    </row>
    <row r="1052" spans="1:11" x14ac:dyDescent="0.2">
      <c r="A1052" t="s">
        <v>1132</v>
      </c>
      <c r="B1052" t="s">
        <v>1077</v>
      </c>
      <c r="C1052" s="9">
        <v>45976</v>
      </c>
      <c r="D1052" s="9">
        <v>45979</v>
      </c>
      <c r="E1052" t="s">
        <v>118</v>
      </c>
      <c r="F1052" t="s">
        <v>500</v>
      </c>
      <c r="G1052">
        <v>36</v>
      </c>
      <c r="H1052">
        <v>473.04</v>
      </c>
      <c r="I1052" t="s">
        <v>1079</v>
      </c>
      <c r="K1052" t="b">
        <f>IF(Table1[[#This Row],[dispatch_date]]-Table1[[#This Row],[order_date]] &gt;=0, TRUE, FALSE)</f>
        <v>1</v>
      </c>
    </row>
    <row r="1053" spans="1:11" x14ac:dyDescent="0.2">
      <c r="A1053" t="s">
        <v>1841</v>
      </c>
      <c r="B1053" t="s">
        <v>968</v>
      </c>
      <c r="C1053" s="9">
        <v>45976</v>
      </c>
      <c r="D1053" s="9">
        <v>45978</v>
      </c>
      <c r="E1053" t="s">
        <v>52</v>
      </c>
      <c r="F1053" t="s">
        <v>796</v>
      </c>
      <c r="G1053">
        <v>24</v>
      </c>
      <c r="H1053">
        <v>118.32</v>
      </c>
      <c r="I1053" t="s">
        <v>938</v>
      </c>
      <c r="K1053" t="b">
        <f>IF(Table1[[#This Row],[dispatch_date]]-Table1[[#This Row],[order_date]] &gt;=0, TRUE, FALSE)</f>
        <v>1</v>
      </c>
    </row>
    <row r="1054" spans="1:11" x14ac:dyDescent="0.2">
      <c r="A1054" t="s">
        <v>2176</v>
      </c>
      <c r="B1054" t="s">
        <v>954</v>
      </c>
      <c r="C1054" s="9">
        <v>45976</v>
      </c>
      <c r="D1054" s="9">
        <v>45976</v>
      </c>
      <c r="E1054" t="s">
        <v>112</v>
      </c>
      <c r="F1054" t="s">
        <v>481</v>
      </c>
      <c r="G1054">
        <v>24</v>
      </c>
      <c r="H1054">
        <v>144.24</v>
      </c>
      <c r="I1054" t="s">
        <v>956</v>
      </c>
      <c r="K1054" t="b">
        <f>IF(Table1[[#This Row],[dispatch_date]]-Table1[[#This Row],[order_date]] &gt;=0, TRUE, FALSE)</f>
        <v>1</v>
      </c>
    </row>
    <row r="1055" spans="1:11" x14ac:dyDescent="0.2">
      <c r="A1055" t="s">
        <v>2621</v>
      </c>
      <c r="B1055" t="s">
        <v>1074</v>
      </c>
      <c r="C1055" s="9">
        <v>45976</v>
      </c>
      <c r="D1055" s="9">
        <v>45978</v>
      </c>
      <c r="E1055" t="s">
        <v>121</v>
      </c>
      <c r="F1055" t="s">
        <v>597</v>
      </c>
      <c r="G1055">
        <v>12</v>
      </c>
      <c r="H1055">
        <v>154.08000000000001</v>
      </c>
      <c r="I1055" t="s">
        <v>916</v>
      </c>
      <c r="K1055" t="b">
        <f>IF(Table1[[#This Row],[dispatch_date]]-Table1[[#This Row],[order_date]] &gt;=0, TRUE, FALSE)</f>
        <v>1</v>
      </c>
    </row>
    <row r="1056" spans="1:11" x14ac:dyDescent="0.2">
      <c r="A1056" t="s">
        <v>2692</v>
      </c>
      <c r="B1056" t="s">
        <v>1018</v>
      </c>
      <c r="C1056" s="9">
        <v>45976</v>
      </c>
      <c r="D1056" s="9">
        <v>45976</v>
      </c>
      <c r="E1056" t="s">
        <v>30</v>
      </c>
      <c r="F1056" t="s">
        <v>697</v>
      </c>
      <c r="G1056">
        <v>48</v>
      </c>
      <c r="H1056">
        <v>115.2</v>
      </c>
      <c r="I1056" t="s">
        <v>916</v>
      </c>
      <c r="K1056" t="b">
        <f>IF(Table1[[#This Row],[dispatch_date]]-Table1[[#This Row],[order_date]] &gt;=0, TRUE, FALSE)</f>
        <v>1</v>
      </c>
    </row>
    <row r="1057" spans="1:11" x14ac:dyDescent="0.2">
      <c r="A1057" t="s">
        <v>1277</v>
      </c>
      <c r="B1057" t="s">
        <v>976</v>
      </c>
      <c r="C1057" s="9">
        <v>45978</v>
      </c>
      <c r="D1057" s="9">
        <v>45979</v>
      </c>
      <c r="E1057" t="s">
        <v>125</v>
      </c>
      <c r="F1057" t="s">
        <v>270</v>
      </c>
      <c r="G1057">
        <v>24</v>
      </c>
      <c r="H1057">
        <v>183.12</v>
      </c>
      <c r="I1057" t="s">
        <v>938</v>
      </c>
      <c r="K1057" t="b">
        <f>IF(Table1[[#This Row],[dispatch_date]]-Table1[[#This Row],[order_date]] &gt;=0, TRUE, FALSE)</f>
        <v>1</v>
      </c>
    </row>
    <row r="1058" spans="1:11" x14ac:dyDescent="0.2">
      <c r="A1058" t="s">
        <v>1397</v>
      </c>
      <c r="B1058" t="s">
        <v>958</v>
      </c>
      <c r="C1058" s="9">
        <v>45978</v>
      </c>
      <c r="D1058" s="9">
        <v>45981</v>
      </c>
      <c r="E1058" t="s">
        <v>127</v>
      </c>
      <c r="F1058" t="s">
        <v>683</v>
      </c>
      <c r="G1058">
        <v>12</v>
      </c>
      <c r="H1058">
        <v>46.74</v>
      </c>
      <c r="I1058" t="s">
        <v>956</v>
      </c>
      <c r="K1058" t="b">
        <f>IF(Table1[[#This Row],[dispatch_date]]-Table1[[#This Row],[order_date]] &gt;=0, TRUE, FALSE)</f>
        <v>1</v>
      </c>
    </row>
    <row r="1059" spans="1:11" x14ac:dyDescent="0.2">
      <c r="A1059" t="s">
        <v>1437</v>
      </c>
      <c r="B1059" t="s">
        <v>1024</v>
      </c>
      <c r="C1059" s="9">
        <v>45978</v>
      </c>
      <c r="D1059" s="9">
        <v>45981</v>
      </c>
      <c r="E1059" t="s">
        <v>25</v>
      </c>
      <c r="F1059" t="s">
        <v>610</v>
      </c>
      <c r="G1059">
        <v>48</v>
      </c>
      <c r="H1059">
        <v>266.39999999999998</v>
      </c>
      <c r="I1059" t="s">
        <v>938</v>
      </c>
      <c r="K1059" t="b">
        <f>IF(Table1[[#This Row],[dispatch_date]]-Table1[[#This Row],[order_date]] &gt;=0, TRUE, FALSE)</f>
        <v>1</v>
      </c>
    </row>
    <row r="1060" spans="1:11" x14ac:dyDescent="0.2">
      <c r="A1060" t="s">
        <v>1210</v>
      </c>
      <c r="B1060" t="s">
        <v>1048</v>
      </c>
      <c r="C1060" s="9">
        <v>45979</v>
      </c>
      <c r="D1060" s="9">
        <v>45979</v>
      </c>
      <c r="E1060" t="s">
        <v>93</v>
      </c>
      <c r="F1060" t="s">
        <v>204</v>
      </c>
      <c r="G1060">
        <v>36</v>
      </c>
      <c r="H1060">
        <v>100.44</v>
      </c>
      <c r="I1060" t="s">
        <v>912</v>
      </c>
      <c r="K1060" t="b">
        <f>IF(Table1[[#This Row],[dispatch_date]]-Table1[[#This Row],[order_date]] &gt;=0, TRUE, FALSE)</f>
        <v>1</v>
      </c>
    </row>
    <row r="1061" spans="1:11" x14ac:dyDescent="0.2">
      <c r="A1061" t="s">
        <v>2175</v>
      </c>
      <c r="B1061" t="s">
        <v>954</v>
      </c>
      <c r="C1061" s="9">
        <v>45980</v>
      </c>
      <c r="D1061" s="9">
        <v>45983</v>
      </c>
      <c r="E1061" t="s">
        <v>17</v>
      </c>
      <c r="F1061" t="s">
        <v>878</v>
      </c>
      <c r="G1061">
        <v>6</v>
      </c>
      <c r="H1061">
        <v>34.14</v>
      </c>
      <c r="I1061" t="s">
        <v>956</v>
      </c>
      <c r="K1061" t="b">
        <f>IF(Table1[[#This Row],[dispatch_date]]-Table1[[#This Row],[order_date]] &gt;=0, TRUE, FALSE)</f>
        <v>1</v>
      </c>
    </row>
    <row r="1062" spans="1:11" x14ac:dyDescent="0.2">
      <c r="A1062" t="s">
        <v>2734</v>
      </c>
      <c r="B1062" t="s">
        <v>968</v>
      </c>
      <c r="C1062" s="9">
        <v>45980</v>
      </c>
      <c r="D1062" s="9">
        <v>45982</v>
      </c>
      <c r="E1062" t="s">
        <v>54</v>
      </c>
      <c r="F1062" t="s">
        <v>241</v>
      </c>
      <c r="G1062">
        <v>12</v>
      </c>
      <c r="H1062">
        <v>53.16</v>
      </c>
      <c r="I1062" t="s">
        <v>938</v>
      </c>
      <c r="K1062" t="b">
        <f>IF(Table1[[#This Row],[dispatch_date]]-Table1[[#This Row],[order_date]] &gt;=0, TRUE, FALSE)</f>
        <v>1</v>
      </c>
    </row>
    <row r="1063" spans="1:11" x14ac:dyDescent="0.2">
      <c r="A1063" t="s">
        <v>2385</v>
      </c>
      <c r="B1063" t="s">
        <v>1031</v>
      </c>
      <c r="C1063" s="9">
        <v>45981</v>
      </c>
      <c r="D1063" s="9">
        <v>45981</v>
      </c>
      <c r="E1063" t="s">
        <v>22</v>
      </c>
      <c r="F1063" t="s">
        <v>179</v>
      </c>
      <c r="G1063">
        <v>36</v>
      </c>
      <c r="H1063">
        <v>178.92</v>
      </c>
      <c r="I1063" t="s">
        <v>938</v>
      </c>
      <c r="K1063" t="b">
        <f>IF(Table1[[#This Row],[dispatch_date]]-Table1[[#This Row],[order_date]] &gt;=0, TRUE, FALSE)</f>
        <v>1</v>
      </c>
    </row>
    <row r="1064" spans="1:11" x14ac:dyDescent="0.2">
      <c r="A1064" t="s">
        <v>2579</v>
      </c>
      <c r="B1064" t="s">
        <v>1027</v>
      </c>
      <c r="C1064" s="9">
        <v>45981</v>
      </c>
      <c r="D1064" s="9">
        <v>45981</v>
      </c>
      <c r="E1064" t="s">
        <v>42</v>
      </c>
      <c r="G1064">
        <v>6</v>
      </c>
      <c r="H1064">
        <v>19.62</v>
      </c>
      <c r="I1064" t="s">
        <v>916</v>
      </c>
      <c r="K1064" t="b">
        <f>IF(Table1[[#This Row],[dispatch_date]]-Table1[[#This Row],[order_date]] &gt;=0, TRUE, FALSE)</f>
        <v>1</v>
      </c>
    </row>
    <row r="1065" spans="1:11" x14ac:dyDescent="0.2">
      <c r="A1065" t="s">
        <v>2700</v>
      </c>
      <c r="B1065" t="s">
        <v>1024</v>
      </c>
      <c r="C1065" s="9">
        <v>45981</v>
      </c>
      <c r="D1065" s="9">
        <v>45981</v>
      </c>
      <c r="E1065" t="s">
        <v>114</v>
      </c>
      <c r="F1065" t="s">
        <v>654</v>
      </c>
      <c r="G1065">
        <v>36</v>
      </c>
      <c r="H1065">
        <v>178.2</v>
      </c>
      <c r="I1065" t="s">
        <v>938</v>
      </c>
      <c r="K1065" t="b">
        <f>IF(Table1[[#This Row],[dispatch_date]]-Table1[[#This Row],[order_date]] &gt;=0, TRUE, FALSE)</f>
        <v>1</v>
      </c>
    </row>
    <row r="1066" spans="1:11" x14ac:dyDescent="0.2">
      <c r="A1066" t="s">
        <v>2347</v>
      </c>
      <c r="B1066" t="s">
        <v>925</v>
      </c>
      <c r="C1066" s="9">
        <v>45982</v>
      </c>
      <c r="D1066" s="9">
        <v>45985</v>
      </c>
      <c r="E1066" t="s">
        <v>110</v>
      </c>
      <c r="F1066" t="s">
        <v>842</v>
      </c>
      <c r="G1066">
        <v>6</v>
      </c>
      <c r="H1066">
        <v>19.62</v>
      </c>
      <c r="I1066" t="s">
        <v>927</v>
      </c>
      <c r="K1066" t="b">
        <f>IF(Table1[[#This Row],[dispatch_date]]-Table1[[#This Row],[order_date]] &gt;=0, TRUE, FALSE)</f>
        <v>1</v>
      </c>
    </row>
    <row r="1067" spans="1:11" x14ac:dyDescent="0.2">
      <c r="A1067" t="s">
        <v>2467</v>
      </c>
      <c r="B1067" t="s">
        <v>1042</v>
      </c>
      <c r="C1067" s="9">
        <v>45982</v>
      </c>
      <c r="D1067" s="9">
        <v>45985</v>
      </c>
      <c r="E1067" t="s">
        <v>74</v>
      </c>
      <c r="F1067" t="s">
        <v>450</v>
      </c>
      <c r="G1067">
        <v>6</v>
      </c>
      <c r="H1067">
        <v>12.9</v>
      </c>
      <c r="I1067" t="s">
        <v>1079</v>
      </c>
      <c r="K1067" t="b">
        <f>IF(Table1[[#This Row],[dispatch_date]]-Table1[[#This Row],[order_date]] &gt;=0, TRUE, FALSE)</f>
        <v>1</v>
      </c>
    </row>
    <row r="1068" spans="1:11" x14ac:dyDescent="0.2">
      <c r="A1068" t="s">
        <v>2587</v>
      </c>
      <c r="B1068" t="s">
        <v>925</v>
      </c>
      <c r="C1068" s="9">
        <v>45982</v>
      </c>
      <c r="D1068" s="9">
        <v>45984</v>
      </c>
      <c r="E1068" t="s">
        <v>99</v>
      </c>
      <c r="F1068" t="s">
        <v>812</v>
      </c>
      <c r="G1068">
        <v>12</v>
      </c>
      <c r="H1068">
        <v>84.25</v>
      </c>
      <c r="I1068" t="s">
        <v>927</v>
      </c>
      <c r="K1068" t="b">
        <f>IF(Table1[[#This Row],[dispatch_date]]-Table1[[#This Row],[order_date]] &gt;=0, TRUE, FALSE)</f>
        <v>1</v>
      </c>
    </row>
    <row r="1069" spans="1:11" x14ac:dyDescent="0.2">
      <c r="A1069" t="s">
        <v>2854</v>
      </c>
      <c r="B1069" t="s">
        <v>1069</v>
      </c>
      <c r="C1069" s="9">
        <v>45982</v>
      </c>
      <c r="D1069" s="9">
        <v>45983</v>
      </c>
      <c r="E1069" t="s">
        <v>48</v>
      </c>
      <c r="G1069">
        <v>48</v>
      </c>
      <c r="H1069">
        <v>307.33999999999997</v>
      </c>
      <c r="I1069" t="s">
        <v>1079</v>
      </c>
      <c r="K1069" t="b">
        <f>IF(Table1[[#This Row],[dispatch_date]]-Table1[[#This Row],[order_date]] &gt;=0, TRUE, FALSE)</f>
        <v>1</v>
      </c>
    </row>
    <row r="1070" spans="1:11" x14ac:dyDescent="0.2">
      <c r="A1070" t="s">
        <v>1271</v>
      </c>
      <c r="B1070" t="s">
        <v>1018</v>
      </c>
      <c r="C1070" s="9">
        <v>45983</v>
      </c>
      <c r="D1070" s="9">
        <v>45986</v>
      </c>
      <c r="E1070" t="s">
        <v>65</v>
      </c>
      <c r="F1070" t="s">
        <v>244</v>
      </c>
      <c r="G1070">
        <v>24</v>
      </c>
      <c r="H1070">
        <v>318.48</v>
      </c>
      <c r="I1070" t="s">
        <v>916</v>
      </c>
      <c r="K1070" t="b">
        <f>IF(Table1[[#This Row],[dispatch_date]]-Table1[[#This Row],[order_date]] &gt;=0, TRUE, FALSE)</f>
        <v>1</v>
      </c>
    </row>
    <row r="1071" spans="1:11" x14ac:dyDescent="0.2">
      <c r="A1071" t="s">
        <v>1339</v>
      </c>
      <c r="B1071" t="s">
        <v>1040</v>
      </c>
      <c r="C1071" s="9">
        <v>45983</v>
      </c>
      <c r="D1071" s="9">
        <v>45984</v>
      </c>
      <c r="E1071" t="s">
        <v>121</v>
      </c>
      <c r="F1071" t="s">
        <v>493</v>
      </c>
      <c r="G1071">
        <v>6</v>
      </c>
      <c r="H1071">
        <v>73.19</v>
      </c>
      <c r="I1071" t="s">
        <v>916</v>
      </c>
      <c r="K1071" t="b">
        <f>IF(Table1[[#This Row],[dispatch_date]]-Table1[[#This Row],[order_date]] &gt;=0, TRUE, FALSE)</f>
        <v>1</v>
      </c>
    </row>
    <row r="1072" spans="1:11" x14ac:dyDescent="0.2">
      <c r="A1072" t="s">
        <v>2242</v>
      </c>
      <c r="B1072" t="s">
        <v>958</v>
      </c>
      <c r="C1072" s="9">
        <v>45983</v>
      </c>
      <c r="D1072" s="9">
        <v>45984</v>
      </c>
      <c r="E1072" t="s">
        <v>22</v>
      </c>
      <c r="F1072" t="s">
        <v>819</v>
      </c>
      <c r="G1072">
        <v>48</v>
      </c>
      <c r="H1072">
        <v>226.63</v>
      </c>
      <c r="I1072" t="s">
        <v>956</v>
      </c>
      <c r="K1072" t="b">
        <f>IF(Table1[[#This Row],[dispatch_date]]-Table1[[#This Row],[order_date]] &gt;=0, TRUE, FALSE)</f>
        <v>1</v>
      </c>
    </row>
    <row r="1073" spans="1:11" x14ac:dyDescent="0.2">
      <c r="A1073" t="s">
        <v>1620</v>
      </c>
      <c r="B1073" t="s">
        <v>948</v>
      </c>
      <c r="C1073" s="9">
        <v>45984</v>
      </c>
      <c r="D1073" s="9">
        <v>45985</v>
      </c>
      <c r="E1073" t="s">
        <v>86</v>
      </c>
      <c r="G1073">
        <v>36</v>
      </c>
      <c r="H1073">
        <v>114.84</v>
      </c>
      <c r="I1073" t="s">
        <v>938</v>
      </c>
      <c r="K1073" t="b">
        <f>IF(Table1[[#This Row],[dispatch_date]]-Table1[[#This Row],[order_date]] &gt;=0, TRUE, FALSE)</f>
        <v>1</v>
      </c>
    </row>
    <row r="1074" spans="1:11" x14ac:dyDescent="0.2">
      <c r="A1074" t="s">
        <v>2299</v>
      </c>
      <c r="B1074" t="s">
        <v>985</v>
      </c>
      <c r="C1074" s="9">
        <v>45984</v>
      </c>
      <c r="D1074" s="9">
        <v>45987</v>
      </c>
      <c r="E1074" t="s">
        <v>78</v>
      </c>
      <c r="F1074" t="s">
        <v>273</v>
      </c>
      <c r="G1074">
        <v>72</v>
      </c>
      <c r="H1074">
        <v>230.4</v>
      </c>
      <c r="I1074" t="s">
        <v>1079</v>
      </c>
      <c r="K1074" t="b">
        <f>IF(Table1[[#This Row],[dispatch_date]]-Table1[[#This Row],[order_date]] &gt;=0, TRUE, FALSE)</f>
        <v>1</v>
      </c>
    </row>
    <row r="1075" spans="1:11" x14ac:dyDescent="0.2">
      <c r="A1075" t="s">
        <v>2582</v>
      </c>
      <c r="B1075" t="s">
        <v>914</v>
      </c>
      <c r="C1075" s="9">
        <v>45984</v>
      </c>
      <c r="D1075" s="9">
        <v>45984</v>
      </c>
      <c r="E1075" t="s">
        <v>22</v>
      </c>
      <c r="F1075" t="s">
        <v>753</v>
      </c>
      <c r="G1075">
        <v>36</v>
      </c>
      <c r="H1075">
        <v>178.92</v>
      </c>
      <c r="I1075" t="s">
        <v>916</v>
      </c>
      <c r="K1075" t="b">
        <f>IF(Table1[[#This Row],[dispatch_date]]-Table1[[#This Row],[order_date]] &gt;=0, TRUE, FALSE)</f>
        <v>1</v>
      </c>
    </row>
    <row r="1076" spans="1:11" x14ac:dyDescent="0.2">
      <c r="A1076" t="s">
        <v>2676</v>
      </c>
      <c r="B1076" t="s">
        <v>993</v>
      </c>
      <c r="C1076" s="9">
        <v>45984</v>
      </c>
      <c r="D1076" s="9">
        <v>45985</v>
      </c>
      <c r="E1076" t="s">
        <v>110</v>
      </c>
      <c r="F1076" t="s">
        <v>668</v>
      </c>
      <c r="G1076">
        <v>72</v>
      </c>
      <c r="H1076">
        <v>235.44</v>
      </c>
      <c r="I1076" t="s">
        <v>938</v>
      </c>
      <c r="K1076" t="b">
        <f>IF(Table1[[#This Row],[dispatch_date]]-Table1[[#This Row],[order_date]] &gt;=0, TRUE, FALSE)</f>
        <v>1</v>
      </c>
    </row>
    <row r="1077" spans="1:11" x14ac:dyDescent="0.2">
      <c r="A1077" t="s">
        <v>2680</v>
      </c>
      <c r="B1077" t="s">
        <v>901</v>
      </c>
      <c r="C1077" s="9">
        <v>45984</v>
      </c>
      <c r="D1077" s="9">
        <v>45986</v>
      </c>
      <c r="E1077" t="s">
        <v>116</v>
      </c>
      <c r="F1077" t="s">
        <v>386</v>
      </c>
      <c r="G1077">
        <v>6</v>
      </c>
      <c r="H1077">
        <v>29.04</v>
      </c>
      <c r="I1077" t="s">
        <v>956</v>
      </c>
      <c r="K1077" t="b">
        <f>IF(Table1[[#This Row],[dispatch_date]]-Table1[[#This Row],[order_date]] &gt;=0, TRUE, FALSE)</f>
        <v>1</v>
      </c>
    </row>
    <row r="1078" spans="1:11" x14ac:dyDescent="0.2">
      <c r="A1078" t="s">
        <v>2737</v>
      </c>
      <c r="B1078" t="s">
        <v>958</v>
      </c>
      <c r="C1078" s="9">
        <v>45984</v>
      </c>
      <c r="D1078" s="9">
        <v>45986</v>
      </c>
      <c r="E1078" t="s">
        <v>108</v>
      </c>
      <c r="F1078" t="s">
        <v>564</v>
      </c>
      <c r="G1078">
        <v>6</v>
      </c>
      <c r="H1078">
        <v>40.700000000000003</v>
      </c>
      <c r="I1078" t="s">
        <v>956</v>
      </c>
      <c r="K1078" t="b">
        <f>IF(Table1[[#This Row],[dispatch_date]]-Table1[[#This Row],[order_date]] &gt;=0, TRUE, FALSE)</f>
        <v>1</v>
      </c>
    </row>
    <row r="1079" spans="1:11" x14ac:dyDescent="0.2">
      <c r="A1079" t="s">
        <v>1231</v>
      </c>
      <c r="B1079" t="s">
        <v>979</v>
      </c>
      <c r="C1079" s="9">
        <v>45985</v>
      </c>
      <c r="D1079" s="9">
        <v>45985</v>
      </c>
      <c r="E1079" t="s">
        <v>127</v>
      </c>
      <c r="F1079" t="s">
        <v>483</v>
      </c>
      <c r="G1079">
        <v>6</v>
      </c>
      <c r="H1079">
        <v>23.37</v>
      </c>
      <c r="I1079" t="s">
        <v>927</v>
      </c>
      <c r="K1079" t="b">
        <f>IF(Table1[[#This Row],[dispatch_date]]-Table1[[#This Row],[order_date]] &gt;=0, TRUE, FALSE)</f>
        <v>1</v>
      </c>
    </row>
    <row r="1080" spans="1:11" x14ac:dyDescent="0.2">
      <c r="A1080" t="s">
        <v>1331</v>
      </c>
      <c r="B1080" t="s">
        <v>942</v>
      </c>
      <c r="C1080" s="9">
        <v>45985</v>
      </c>
      <c r="D1080" s="9">
        <v>45988</v>
      </c>
      <c r="E1080" t="s">
        <v>129</v>
      </c>
      <c r="F1080" t="s">
        <v>406</v>
      </c>
      <c r="G1080">
        <v>12</v>
      </c>
      <c r="H1080">
        <v>57</v>
      </c>
      <c r="I1080" t="s">
        <v>916</v>
      </c>
      <c r="K1080" t="b">
        <f>IF(Table1[[#This Row],[dispatch_date]]-Table1[[#This Row],[order_date]] &gt;=0, TRUE, FALSE)</f>
        <v>1</v>
      </c>
    </row>
    <row r="1081" spans="1:11" x14ac:dyDescent="0.2">
      <c r="A1081" t="s">
        <v>1476</v>
      </c>
      <c r="B1081" t="s">
        <v>962</v>
      </c>
      <c r="C1081" s="9">
        <v>45985</v>
      </c>
      <c r="D1081" s="9">
        <v>45987</v>
      </c>
      <c r="E1081" t="s">
        <v>108</v>
      </c>
      <c r="F1081" t="s">
        <v>821</v>
      </c>
      <c r="G1081">
        <v>48</v>
      </c>
      <c r="H1081">
        <v>342.72</v>
      </c>
      <c r="I1081" t="s">
        <v>956</v>
      </c>
      <c r="K1081" t="b">
        <f>IF(Table1[[#This Row],[dispatch_date]]-Table1[[#This Row],[order_date]] &gt;=0, TRUE, FALSE)</f>
        <v>1</v>
      </c>
    </row>
    <row r="1082" spans="1:11" x14ac:dyDescent="0.2">
      <c r="A1082" t="s">
        <v>2331</v>
      </c>
      <c r="B1082" t="s">
        <v>936</v>
      </c>
      <c r="C1082" s="9">
        <v>45985</v>
      </c>
      <c r="D1082" s="9">
        <v>45987</v>
      </c>
      <c r="E1082" t="s">
        <v>56</v>
      </c>
      <c r="F1082" t="s">
        <v>761</v>
      </c>
      <c r="G1082">
        <v>48</v>
      </c>
      <c r="H1082">
        <v>282.24</v>
      </c>
      <c r="I1082" t="s">
        <v>938</v>
      </c>
      <c r="K1082" t="b">
        <f>IF(Table1[[#This Row],[dispatch_date]]-Table1[[#This Row],[order_date]] &gt;=0, TRUE, FALSE)</f>
        <v>1</v>
      </c>
    </row>
    <row r="1083" spans="1:11" x14ac:dyDescent="0.2">
      <c r="A1083" t="s">
        <v>1473</v>
      </c>
      <c r="B1083" t="s">
        <v>958</v>
      </c>
      <c r="C1083" s="9">
        <v>45986</v>
      </c>
      <c r="D1083" s="9">
        <v>45987</v>
      </c>
      <c r="E1083" t="s">
        <v>125</v>
      </c>
      <c r="G1083">
        <v>36</v>
      </c>
      <c r="H1083">
        <v>260.95</v>
      </c>
      <c r="I1083" t="s">
        <v>956</v>
      </c>
      <c r="K1083" t="b">
        <f>IF(Table1[[#This Row],[dispatch_date]]-Table1[[#This Row],[order_date]] &gt;=0, TRUE, FALSE)</f>
        <v>1</v>
      </c>
    </row>
    <row r="1084" spans="1:11" x14ac:dyDescent="0.2">
      <c r="A1084" t="s">
        <v>1499</v>
      </c>
      <c r="B1084" t="s">
        <v>1052</v>
      </c>
      <c r="C1084" s="9">
        <v>45986</v>
      </c>
      <c r="D1084" s="9">
        <v>45988</v>
      </c>
      <c r="E1084" t="s">
        <v>48</v>
      </c>
      <c r="F1084" t="s">
        <v>545</v>
      </c>
      <c r="G1084">
        <v>72</v>
      </c>
      <c r="H1084">
        <v>461.02</v>
      </c>
      <c r="I1084" t="s">
        <v>1079</v>
      </c>
      <c r="K1084" t="b">
        <f>IF(Table1[[#This Row],[dispatch_date]]-Table1[[#This Row],[order_date]] &gt;=0, TRUE, FALSE)</f>
        <v>1</v>
      </c>
    </row>
    <row r="1085" spans="1:11" x14ac:dyDescent="0.2">
      <c r="A1085" t="s">
        <v>1810</v>
      </c>
      <c r="B1085" t="s">
        <v>958</v>
      </c>
      <c r="C1085" s="9">
        <v>45986</v>
      </c>
      <c r="D1085" s="9">
        <v>45989</v>
      </c>
      <c r="E1085" t="s">
        <v>125</v>
      </c>
      <c r="F1085" t="s">
        <v>270</v>
      </c>
      <c r="G1085">
        <v>12</v>
      </c>
      <c r="H1085">
        <v>91.56</v>
      </c>
      <c r="I1085" t="s">
        <v>956</v>
      </c>
      <c r="K1085" t="b">
        <f>IF(Table1[[#This Row],[dispatch_date]]-Table1[[#This Row],[order_date]] &gt;=0, TRUE, FALSE)</f>
        <v>1</v>
      </c>
    </row>
    <row r="1086" spans="1:11" x14ac:dyDescent="0.2">
      <c r="A1086" t="s">
        <v>1467</v>
      </c>
      <c r="B1086" t="s">
        <v>965</v>
      </c>
      <c r="C1086" s="9">
        <v>45987</v>
      </c>
      <c r="D1086" s="9">
        <v>45990</v>
      </c>
      <c r="E1086" t="s">
        <v>56</v>
      </c>
      <c r="G1086">
        <v>24</v>
      </c>
      <c r="H1086">
        <v>141.12</v>
      </c>
      <c r="I1086" t="s">
        <v>956</v>
      </c>
      <c r="K1086" t="b">
        <f>IF(Table1[[#This Row],[dispatch_date]]-Table1[[#This Row],[order_date]] &gt;=0, TRUE, FALSE)</f>
        <v>1</v>
      </c>
    </row>
    <row r="1087" spans="1:11" x14ac:dyDescent="0.2">
      <c r="A1087" t="s">
        <v>1963</v>
      </c>
      <c r="B1087" t="s">
        <v>1004</v>
      </c>
      <c r="C1087" s="9">
        <v>45987</v>
      </c>
      <c r="D1087" s="9">
        <v>45989</v>
      </c>
      <c r="E1087" t="s">
        <v>28</v>
      </c>
      <c r="F1087" t="s">
        <v>561</v>
      </c>
      <c r="G1087">
        <v>72</v>
      </c>
      <c r="H1087">
        <v>392.62</v>
      </c>
      <c r="I1087" t="s">
        <v>927</v>
      </c>
      <c r="K1087" t="b">
        <f>IF(Table1[[#This Row],[dispatch_date]]-Table1[[#This Row],[order_date]] &gt;=0, TRUE, FALSE)</f>
        <v>1</v>
      </c>
    </row>
    <row r="1088" spans="1:11" x14ac:dyDescent="0.2">
      <c r="A1088" t="s">
        <v>1249</v>
      </c>
      <c r="B1088" t="s">
        <v>954</v>
      </c>
      <c r="C1088" s="9">
        <v>45988</v>
      </c>
      <c r="D1088" s="9">
        <v>45991</v>
      </c>
      <c r="E1088" t="s">
        <v>110</v>
      </c>
      <c r="F1088" t="s">
        <v>476</v>
      </c>
      <c r="G1088">
        <v>24</v>
      </c>
      <c r="H1088">
        <v>78.48</v>
      </c>
      <c r="I1088" t="s">
        <v>956</v>
      </c>
      <c r="K1088" t="b">
        <f>IF(Table1[[#This Row],[dispatch_date]]-Table1[[#This Row],[order_date]] &gt;=0, TRUE, FALSE)</f>
        <v>1</v>
      </c>
    </row>
    <row r="1089" spans="1:11" x14ac:dyDescent="0.2">
      <c r="A1089" t="s">
        <v>1594</v>
      </c>
      <c r="B1089" t="s">
        <v>1031</v>
      </c>
      <c r="C1089" s="9">
        <v>45988</v>
      </c>
      <c r="D1089" s="9">
        <v>45990</v>
      </c>
      <c r="E1089" t="s">
        <v>93</v>
      </c>
      <c r="F1089" t="s">
        <v>849</v>
      </c>
      <c r="G1089">
        <v>72</v>
      </c>
      <c r="H1089">
        <v>200.88</v>
      </c>
      <c r="I1089" t="s">
        <v>956</v>
      </c>
      <c r="K1089" t="b">
        <f>IF(Table1[[#This Row],[dispatch_date]]-Table1[[#This Row],[order_date]] &gt;=0, TRUE, FALSE)</f>
        <v>1</v>
      </c>
    </row>
    <row r="1090" spans="1:11" x14ac:dyDescent="0.2">
      <c r="A1090" t="s">
        <v>2086</v>
      </c>
      <c r="B1090" t="s">
        <v>983</v>
      </c>
      <c r="C1090" s="9">
        <v>45988</v>
      </c>
      <c r="D1090" s="9">
        <v>45988</v>
      </c>
      <c r="E1090" t="s">
        <v>56</v>
      </c>
      <c r="G1090">
        <v>12</v>
      </c>
      <c r="H1090">
        <v>67.03</v>
      </c>
      <c r="I1090" t="s">
        <v>916</v>
      </c>
      <c r="K1090" t="b">
        <f>IF(Table1[[#This Row],[dispatch_date]]-Table1[[#This Row],[order_date]] &gt;=0, TRUE, FALSE)</f>
        <v>1</v>
      </c>
    </row>
    <row r="1091" spans="1:11" x14ac:dyDescent="0.2">
      <c r="A1091" t="s">
        <v>2468</v>
      </c>
      <c r="B1091" t="s">
        <v>1069</v>
      </c>
      <c r="C1091" s="9">
        <v>45988</v>
      </c>
      <c r="D1091" s="9">
        <v>45989</v>
      </c>
      <c r="E1091" t="s">
        <v>105</v>
      </c>
      <c r="F1091" t="s">
        <v>276</v>
      </c>
      <c r="G1091">
        <v>48</v>
      </c>
      <c r="H1091">
        <v>285.60000000000002</v>
      </c>
      <c r="I1091" t="s">
        <v>956</v>
      </c>
      <c r="K1091" t="b">
        <f>IF(Table1[[#This Row],[dispatch_date]]-Table1[[#This Row],[order_date]] &gt;=0, TRUE, FALSE)</f>
        <v>1</v>
      </c>
    </row>
    <row r="1092" spans="1:11" x14ac:dyDescent="0.2">
      <c r="A1092" t="s">
        <v>1362</v>
      </c>
      <c r="B1092" t="s">
        <v>983</v>
      </c>
      <c r="C1092" s="9">
        <v>45989</v>
      </c>
      <c r="D1092" s="9">
        <v>45989</v>
      </c>
      <c r="E1092" t="s">
        <v>74</v>
      </c>
      <c r="G1092">
        <v>24</v>
      </c>
      <c r="H1092">
        <v>49.02</v>
      </c>
      <c r="I1092" t="s">
        <v>916</v>
      </c>
      <c r="K1092" t="b">
        <f>IF(Table1[[#This Row],[dispatch_date]]-Table1[[#This Row],[order_date]] &gt;=0, TRUE, FALSE)</f>
        <v>1</v>
      </c>
    </row>
    <row r="1093" spans="1:11" x14ac:dyDescent="0.2">
      <c r="A1093" t="s">
        <v>2141</v>
      </c>
      <c r="B1093" t="s">
        <v>987</v>
      </c>
      <c r="C1093" s="9">
        <v>45989</v>
      </c>
      <c r="D1093" s="9">
        <v>45989</v>
      </c>
      <c r="E1093" t="s">
        <v>63</v>
      </c>
      <c r="G1093">
        <v>48</v>
      </c>
      <c r="H1093">
        <v>446.88</v>
      </c>
      <c r="I1093" t="s">
        <v>1079</v>
      </c>
      <c r="K1093" t="b">
        <f>IF(Table1[[#This Row],[dispatch_date]]-Table1[[#This Row],[order_date]] &gt;=0, TRUE, FALSE)</f>
        <v>1</v>
      </c>
    </row>
    <row r="1094" spans="1:11" x14ac:dyDescent="0.2">
      <c r="A1094" t="s">
        <v>2721</v>
      </c>
      <c r="B1094" t="s">
        <v>1046</v>
      </c>
      <c r="C1094" s="9">
        <v>45989</v>
      </c>
      <c r="D1094" s="9">
        <v>45992</v>
      </c>
      <c r="E1094" t="s">
        <v>28</v>
      </c>
      <c r="F1094" t="s">
        <v>561</v>
      </c>
      <c r="G1094">
        <v>12</v>
      </c>
      <c r="H1094">
        <v>68.88</v>
      </c>
      <c r="I1094" t="s">
        <v>912</v>
      </c>
      <c r="K1094" t="b">
        <f>IF(Table1[[#This Row],[dispatch_date]]-Table1[[#This Row],[order_date]] &gt;=0, TRUE, FALSE)</f>
        <v>1</v>
      </c>
    </row>
    <row r="1095" spans="1:11" x14ac:dyDescent="0.2">
      <c r="A1095" t="s">
        <v>1571</v>
      </c>
      <c r="B1095" t="s">
        <v>1027</v>
      </c>
      <c r="C1095" s="9">
        <v>45990</v>
      </c>
      <c r="D1095" s="9">
        <v>45991</v>
      </c>
      <c r="E1095" t="s">
        <v>40</v>
      </c>
      <c r="F1095" t="s">
        <v>549</v>
      </c>
      <c r="G1095">
        <v>24</v>
      </c>
      <c r="H1095">
        <v>88.69</v>
      </c>
      <c r="I1095" t="s">
        <v>916</v>
      </c>
      <c r="K1095" t="b">
        <f>IF(Table1[[#This Row],[dispatch_date]]-Table1[[#This Row],[order_date]] &gt;=0, TRUE, FALSE)</f>
        <v>1</v>
      </c>
    </row>
    <row r="1096" spans="1:11" x14ac:dyDescent="0.2">
      <c r="A1096" t="s">
        <v>1988</v>
      </c>
      <c r="B1096" t="s">
        <v>1037</v>
      </c>
      <c r="C1096" s="9">
        <v>45991</v>
      </c>
      <c r="D1096" s="9"/>
      <c r="E1096" t="s">
        <v>69</v>
      </c>
      <c r="F1096" t="s">
        <v>837</v>
      </c>
      <c r="G1096">
        <v>12</v>
      </c>
      <c r="H1096">
        <v>64.08</v>
      </c>
      <c r="I1096" t="s">
        <v>938</v>
      </c>
      <c r="K1096" t="b">
        <f>IF(Table1[[#This Row],[dispatch_date]]-Table1[[#This Row],[order_date]] &gt;=0, TRUE, FALSE)</f>
        <v>0</v>
      </c>
    </row>
    <row r="1097" spans="1:11" x14ac:dyDescent="0.2">
      <c r="A1097" t="s">
        <v>2248</v>
      </c>
      <c r="B1097" t="s">
        <v>1060</v>
      </c>
      <c r="C1097" s="9">
        <v>45991</v>
      </c>
      <c r="D1097" s="9">
        <v>45992</v>
      </c>
      <c r="E1097" t="s">
        <v>99</v>
      </c>
      <c r="G1097">
        <v>48</v>
      </c>
      <c r="H1097">
        <v>354.72</v>
      </c>
      <c r="I1097" t="s">
        <v>956</v>
      </c>
      <c r="K1097" t="b">
        <f>IF(Table1[[#This Row],[dispatch_date]]-Table1[[#This Row],[order_date]] &gt;=0, TRUE, FALSE)</f>
        <v>1</v>
      </c>
    </row>
    <row r="1098" spans="1:11" x14ac:dyDescent="0.2">
      <c r="A1098" t="s">
        <v>1622</v>
      </c>
      <c r="B1098" t="s">
        <v>1055</v>
      </c>
      <c r="C1098" s="9">
        <v>45992</v>
      </c>
      <c r="D1098" s="9">
        <v>45995</v>
      </c>
      <c r="E1098" t="s">
        <v>63</v>
      </c>
      <c r="F1098" t="s">
        <v>844</v>
      </c>
      <c r="G1098">
        <v>36</v>
      </c>
      <c r="H1098">
        <v>352.8</v>
      </c>
      <c r="I1098" t="s">
        <v>938</v>
      </c>
      <c r="K1098" t="b">
        <f>IF(Table1[[#This Row],[dispatch_date]]-Table1[[#This Row],[order_date]] &gt;=0, TRUE, FALSE)</f>
        <v>1</v>
      </c>
    </row>
    <row r="1099" spans="1:11" x14ac:dyDescent="0.2">
      <c r="A1099" t="s">
        <v>1895</v>
      </c>
      <c r="B1099" t="s">
        <v>1034</v>
      </c>
      <c r="C1099" s="9">
        <v>45992</v>
      </c>
      <c r="D1099" s="9">
        <v>45995</v>
      </c>
      <c r="E1099" t="s">
        <v>86</v>
      </c>
      <c r="F1099" t="s">
        <v>766</v>
      </c>
      <c r="G1099">
        <v>72</v>
      </c>
      <c r="H1099">
        <v>229.68</v>
      </c>
      <c r="I1099" t="s">
        <v>938</v>
      </c>
      <c r="K1099" t="b">
        <f>IF(Table1[[#This Row],[dispatch_date]]-Table1[[#This Row],[order_date]] &gt;=0, TRUE, FALSE)</f>
        <v>1</v>
      </c>
    </row>
    <row r="1100" spans="1:11" x14ac:dyDescent="0.2">
      <c r="A1100" t="s">
        <v>1308</v>
      </c>
      <c r="B1100" t="s">
        <v>952</v>
      </c>
      <c r="C1100" s="9">
        <v>45993</v>
      </c>
      <c r="D1100" s="9">
        <v>45994</v>
      </c>
      <c r="E1100" t="s">
        <v>105</v>
      </c>
      <c r="F1100" t="s">
        <v>438</v>
      </c>
      <c r="G1100">
        <v>48</v>
      </c>
      <c r="H1100">
        <v>285.60000000000002</v>
      </c>
      <c r="I1100" t="s">
        <v>938</v>
      </c>
      <c r="K1100" t="b">
        <f>IF(Table1[[#This Row],[dispatch_date]]-Table1[[#This Row],[order_date]] &gt;=0, TRUE, FALSE)</f>
        <v>1</v>
      </c>
    </row>
    <row r="1101" spans="1:11" x14ac:dyDescent="0.2">
      <c r="A1101" t="s">
        <v>1618</v>
      </c>
      <c r="B1101" t="s">
        <v>1069</v>
      </c>
      <c r="C1101" s="9">
        <v>45993</v>
      </c>
      <c r="D1101" s="9">
        <v>45996</v>
      </c>
      <c r="E1101" t="s">
        <v>97</v>
      </c>
      <c r="G1101">
        <v>6</v>
      </c>
      <c r="H1101">
        <v>32.28</v>
      </c>
      <c r="I1101" t="s">
        <v>956</v>
      </c>
      <c r="K1101" t="b">
        <f>IF(Table1[[#This Row],[dispatch_date]]-Table1[[#This Row],[order_date]] &gt;=0, TRUE, FALSE)</f>
        <v>1</v>
      </c>
    </row>
    <row r="1102" spans="1:11" x14ac:dyDescent="0.2">
      <c r="A1102" t="s">
        <v>1917</v>
      </c>
      <c r="B1102" t="s">
        <v>983</v>
      </c>
      <c r="C1102" s="9">
        <v>45993</v>
      </c>
      <c r="D1102" s="9">
        <v>45994</v>
      </c>
      <c r="E1102" t="s">
        <v>123</v>
      </c>
      <c r="F1102" t="s">
        <v>627</v>
      </c>
      <c r="G1102">
        <v>36</v>
      </c>
      <c r="H1102">
        <v>239.06</v>
      </c>
      <c r="I1102" t="s">
        <v>916</v>
      </c>
      <c r="K1102" t="b">
        <f>IF(Table1[[#This Row],[dispatch_date]]-Table1[[#This Row],[order_date]] &gt;=0, TRUE, FALSE)</f>
        <v>1</v>
      </c>
    </row>
    <row r="1103" spans="1:11" x14ac:dyDescent="0.2">
      <c r="A1103" t="s">
        <v>2356</v>
      </c>
      <c r="B1103" t="s">
        <v>1056</v>
      </c>
      <c r="C1103" s="9">
        <v>45993</v>
      </c>
      <c r="D1103" s="9">
        <v>45995</v>
      </c>
      <c r="E1103" t="s">
        <v>86</v>
      </c>
      <c r="F1103" t="s">
        <v>310</v>
      </c>
      <c r="G1103">
        <v>24</v>
      </c>
      <c r="H1103">
        <v>76.56</v>
      </c>
      <c r="I1103" t="s">
        <v>912</v>
      </c>
      <c r="K1103" t="b">
        <f>IF(Table1[[#This Row],[dispatch_date]]-Table1[[#This Row],[order_date]] &gt;=0, TRUE, FALSE)</f>
        <v>1</v>
      </c>
    </row>
    <row r="1104" spans="1:11" x14ac:dyDescent="0.2">
      <c r="A1104" t="s">
        <v>2825</v>
      </c>
      <c r="B1104" t="s">
        <v>1064</v>
      </c>
      <c r="C1104" s="9">
        <v>45993</v>
      </c>
      <c r="D1104" s="9">
        <v>45993</v>
      </c>
      <c r="E1104" t="s">
        <v>121</v>
      </c>
      <c r="F1104" t="s">
        <v>440</v>
      </c>
      <c r="G1104">
        <v>24</v>
      </c>
      <c r="H1104">
        <v>292.75</v>
      </c>
      <c r="I1104" t="s">
        <v>1079</v>
      </c>
      <c r="K1104" t="b">
        <f>IF(Table1[[#This Row],[dispatch_date]]-Table1[[#This Row],[order_date]] &gt;=0, TRUE, FALSE)</f>
        <v>1</v>
      </c>
    </row>
    <row r="1105" spans="1:11" x14ac:dyDescent="0.2">
      <c r="A1105" t="s">
        <v>1240</v>
      </c>
      <c r="B1105" t="s">
        <v>1061</v>
      </c>
      <c r="C1105" s="9">
        <v>45994</v>
      </c>
      <c r="D1105" s="9">
        <v>45997</v>
      </c>
      <c r="E1105" t="s">
        <v>78</v>
      </c>
      <c r="F1105" t="s">
        <v>273</v>
      </c>
      <c r="G1105">
        <v>24</v>
      </c>
      <c r="H1105">
        <v>76.8</v>
      </c>
      <c r="I1105" t="s">
        <v>912</v>
      </c>
      <c r="K1105" t="b">
        <f>IF(Table1[[#This Row],[dispatch_date]]-Table1[[#This Row],[order_date]] &gt;=0, TRUE, FALSE)</f>
        <v>1</v>
      </c>
    </row>
    <row r="1106" spans="1:11" x14ac:dyDescent="0.2">
      <c r="A1106" t="s">
        <v>1385</v>
      </c>
      <c r="B1106" t="s">
        <v>910</v>
      </c>
      <c r="C1106" s="9">
        <v>45994</v>
      </c>
      <c r="D1106" s="9">
        <v>45995</v>
      </c>
      <c r="E1106" t="s">
        <v>56</v>
      </c>
      <c r="F1106" t="s">
        <v>761</v>
      </c>
      <c r="G1106">
        <v>12</v>
      </c>
      <c r="H1106">
        <v>70.56</v>
      </c>
      <c r="I1106" t="s">
        <v>912</v>
      </c>
      <c r="K1106" t="b">
        <f>IF(Table1[[#This Row],[dispatch_date]]-Table1[[#This Row],[order_date]] &gt;=0, TRUE, FALSE)</f>
        <v>1</v>
      </c>
    </row>
    <row r="1107" spans="1:11" x14ac:dyDescent="0.2">
      <c r="A1107" t="s">
        <v>1566</v>
      </c>
      <c r="B1107" t="s">
        <v>954</v>
      </c>
      <c r="C1107" s="9">
        <v>45994</v>
      </c>
      <c r="D1107" s="9">
        <v>45994</v>
      </c>
      <c r="E1107" t="s">
        <v>42</v>
      </c>
      <c r="F1107" t="s">
        <v>411</v>
      </c>
      <c r="G1107">
        <v>24</v>
      </c>
      <c r="H1107">
        <v>78.48</v>
      </c>
      <c r="I1107" t="s">
        <v>956</v>
      </c>
      <c r="K1107" t="b">
        <f>IF(Table1[[#This Row],[dispatch_date]]-Table1[[#This Row],[order_date]] &gt;=0, TRUE, FALSE)</f>
        <v>1</v>
      </c>
    </row>
    <row r="1108" spans="1:11" x14ac:dyDescent="0.2">
      <c r="A1108" t="s">
        <v>1915</v>
      </c>
      <c r="B1108" t="s">
        <v>1069</v>
      </c>
      <c r="C1108" s="9">
        <v>45994</v>
      </c>
      <c r="D1108" s="9">
        <v>45995</v>
      </c>
      <c r="E1108" t="s">
        <v>127</v>
      </c>
      <c r="F1108" t="s">
        <v>258</v>
      </c>
      <c r="G1108">
        <v>12</v>
      </c>
      <c r="H1108">
        <v>49.2</v>
      </c>
      <c r="I1108" t="s">
        <v>956</v>
      </c>
      <c r="K1108" t="b">
        <f>IF(Table1[[#This Row],[dispatch_date]]-Table1[[#This Row],[order_date]] &gt;=0, TRUE, FALSE)</f>
        <v>1</v>
      </c>
    </row>
    <row r="1109" spans="1:11" x14ac:dyDescent="0.2">
      <c r="A1109" t="s">
        <v>2424</v>
      </c>
      <c r="B1109" t="s">
        <v>901</v>
      </c>
      <c r="C1109" s="9">
        <v>45994</v>
      </c>
      <c r="D1109" s="9">
        <v>45995</v>
      </c>
      <c r="E1109" t="s">
        <v>56</v>
      </c>
      <c r="F1109" t="s">
        <v>606</v>
      </c>
      <c r="G1109">
        <v>72</v>
      </c>
      <c r="H1109">
        <v>423.36</v>
      </c>
      <c r="I1109" t="s">
        <v>956</v>
      </c>
      <c r="K1109" t="b">
        <f>IF(Table1[[#This Row],[dispatch_date]]-Table1[[#This Row],[order_date]] &gt;=0, TRUE, FALSE)</f>
        <v>1</v>
      </c>
    </row>
    <row r="1110" spans="1:11" x14ac:dyDescent="0.2">
      <c r="A1110" t="s">
        <v>2627</v>
      </c>
      <c r="B1110" t="s">
        <v>1061</v>
      </c>
      <c r="C1110" s="9">
        <v>45994</v>
      </c>
      <c r="D1110" s="9">
        <v>45997</v>
      </c>
      <c r="E1110" t="s">
        <v>44</v>
      </c>
      <c r="G1110">
        <v>24</v>
      </c>
      <c r="H1110">
        <v>145.19999999999999</v>
      </c>
      <c r="I1110" t="s">
        <v>912</v>
      </c>
      <c r="K1110" t="b">
        <f>IF(Table1[[#This Row],[dispatch_date]]-Table1[[#This Row],[order_date]] &gt;=0, TRUE, FALSE)</f>
        <v>1</v>
      </c>
    </row>
    <row r="1111" spans="1:11" x14ac:dyDescent="0.2">
      <c r="A1111" t="s">
        <v>1320</v>
      </c>
      <c r="B1111" t="s">
        <v>1040</v>
      </c>
      <c r="C1111" s="9">
        <v>45759</v>
      </c>
      <c r="D1111" s="9">
        <v>45760</v>
      </c>
      <c r="E1111" t="s">
        <v>71</v>
      </c>
      <c r="F1111" t="s">
        <v>782</v>
      </c>
      <c r="G1111">
        <v>24</v>
      </c>
      <c r="H1111">
        <v>228.24</v>
      </c>
      <c r="I1111" t="s">
        <v>916</v>
      </c>
      <c r="J1111" t="s">
        <v>3134</v>
      </c>
      <c r="K1111" t="b">
        <f>IF(Table1[[#This Row],[dispatch_date]]-Table1[[#This Row],[order_date]] &gt;=0, TRUE, FALSE)</f>
        <v>1</v>
      </c>
    </row>
    <row r="1112" spans="1:11" x14ac:dyDescent="0.2">
      <c r="A1112" t="s">
        <v>2393</v>
      </c>
      <c r="B1112" t="s">
        <v>1072</v>
      </c>
      <c r="C1112" s="9">
        <v>45759</v>
      </c>
      <c r="D1112" s="9">
        <v>45760</v>
      </c>
      <c r="E1112" t="s">
        <v>40</v>
      </c>
      <c r="G1112">
        <v>24</v>
      </c>
      <c r="H1112">
        <v>93.36</v>
      </c>
      <c r="I1112" t="s">
        <v>956</v>
      </c>
      <c r="J1112" t="s">
        <v>3134</v>
      </c>
      <c r="K1112" t="b">
        <f>IF(Table1[[#This Row],[dispatch_date]]-Table1[[#This Row],[order_date]] &gt;=0, TRUE, FALSE)</f>
        <v>1</v>
      </c>
    </row>
    <row r="1113" spans="1:11" x14ac:dyDescent="0.2">
      <c r="A1113" t="s">
        <v>1232</v>
      </c>
      <c r="B1113" t="s">
        <v>991</v>
      </c>
      <c r="C1113" s="9">
        <v>45996</v>
      </c>
      <c r="D1113" s="9">
        <v>45998</v>
      </c>
      <c r="E1113" t="s">
        <v>90</v>
      </c>
      <c r="G1113">
        <v>72</v>
      </c>
      <c r="H1113">
        <v>604.79999999999995</v>
      </c>
      <c r="I1113" t="s">
        <v>956</v>
      </c>
      <c r="K1113" t="b">
        <f>IF(Table1[[#This Row],[dispatch_date]]-Table1[[#This Row],[order_date]] &gt;=0, TRUE, FALSE)</f>
        <v>1</v>
      </c>
    </row>
    <row r="1114" spans="1:11" x14ac:dyDescent="0.2">
      <c r="A1114" t="s">
        <v>1286</v>
      </c>
      <c r="B1114" t="s">
        <v>939</v>
      </c>
      <c r="C1114" s="9">
        <v>45997</v>
      </c>
      <c r="D1114" s="9">
        <v>45998</v>
      </c>
      <c r="E1114" t="s">
        <v>129</v>
      </c>
      <c r="F1114" t="s">
        <v>469</v>
      </c>
      <c r="G1114">
        <v>24</v>
      </c>
      <c r="H1114">
        <v>114</v>
      </c>
      <c r="I1114" t="s">
        <v>916</v>
      </c>
      <c r="K1114" t="b">
        <f>IF(Table1[[#This Row],[dispatch_date]]-Table1[[#This Row],[order_date]] &gt;=0, TRUE, FALSE)</f>
        <v>1</v>
      </c>
    </row>
    <row r="1115" spans="1:11" x14ac:dyDescent="0.2">
      <c r="A1115" t="s">
        <v>2186</v>
      </c>
      <c r="B1115" t="s">
        <v>936</v>
      </c>
      <c r="C1115" s="9">
        <v>45997</v>
      </c>
      <c r="D1115" s="9">
        <v>45998</v>
      </c>
      <c r="E1115" t="s">
        <v>67</v>
      </c>
      <c r="F1115" t="s">
        <v>857</v>
      </c>
      <c r="G1115">
        <v>72</v>
      </c>
      <c r="H1115">
        <v>381.6</v>
      </c>
      <c r="I1115" t="s">
        <v>938</v>
      </c>
      <c r="K1115" t="b">
        <f>IF(Table1[[#This Row],[dispatch_date]]-Table1[[#This Row],[order_date]] &gt;=0, TRUE, FALSE)</f>
        <v>1</v>
      </c>
    </row>
    <row r="1116" spans="1:11" x14ac:dyDescent="0.2">
      <c r="A1116" t="s">
        <v>1643</v>
      </c>
      <c r="B1116" t="s">
        <v>1076</v>
      </c>
      <c r="C1116" s="9">
        <v>45850</v>
      </c>
      <c r="D1116" s="9">
        <v>45851</v>
      </c>
      <c r="E1116" t="s">
        <v>125</v>
      </c>
      <c r="F1116" t="s">
        <v>519</v>
      </c>
      <c r="G1116">
        <v>6</v>
      </c>
      <c r="H1116">
        <v>45.78</v>
      </c>
      <c r="I1116" t="s">
        <v>927</v>
      </c>
      <c r="J1116" t="s">
        <v>3134</v>
      </c>
      <c r="K1116" t="b">
        <f>IF(Table1[[#This Row],[dispatch_date]]-Table1[[#This Row],[order_date]] &gt;=0, TRUE, FALSE)</f>
        <v>1</v>
      </c>
    </row>
    <row r="1117" spans="1:11" x14ac:dyDescent="0.2">
      <c r="A1117" t="s">
        <v>1822</v>
      </c>
      <c r="B1117" t="s">
        <v>932</v>
      </c>
      <c r="C1117" s="9">
        <v>45998</v>
      </c>
      <c r="D1117" s="9">
        <v>45998</v>
      </c>
      <c r="E1117" t="s">
        <v>86</v>
      </c>
      <c r="G1117">
        <v>24</v>
      </c>
      <c r="H1117">
        <v>76.56</v>
      </c>
      <c r="I1117" t="s">
        <v>956</v>
      </c>
      <c r="K1117" t="b">
        <f>IF(Table1[[#This Row],[dispatch_date]]-Table1[[#This Row],[order_date]] &gt;=0, TRUE, FALSE)</f>
        <v>1</v>
      </c>
    </row>
    <row r="1118" spans="1:11" x14ac:dyDescent="0.2">
      <c r="A1118" t="s">
        <v>2168</v>
      </c>
      <c r="B1118" t="s">
        <v>991</v>
      </c>
      <c r="C1118" s="9">
        <v>45998</v>
      </c>
      <c r="D1118" s="9">
        <v>45999</v>
      </c>
      <c r="E1118" t="s">
        <v>17</v>
      </c>
      <c r="F1118" t="s">
        <v>585</v>
      </c>
      <c r="G1118">
        <v>36</v>
      </c>
      <c r="H1118">
        <v>215.64</v>
      </c>
      <c r="I1118" t="s">
        <v>956</v>
      </c>
      <c r="K1118" t="b">
        <f>IF(Table1[[#This Row],[dispatch_date]]-Table1[[#This Row],[order_date]] &gt;=0, TRUE, FALSE)</f>
        <v>1</v>
      </c>
    </row>
    <row r="1119" spans="1:11" x14ac:dyDescent="0.2">
      <c r="A1119" t="s">
        <v>2612</v>
      </c>
      <c r="B1119" t="s">
        <v>1040</v>
      </c>
      <c r="C1119" s="9">
        <v>45998</v>
      </c>
      <c r="D1119" s="9">
        <v>46001</v>
      </c>
      <c r="E1119" t="s">
        <v>69</v>
      </c>
      <c r="F1119" t="s">
        <v>846</v>
      </c>
      <c r="G1119">
        <v>36</v>
      </c>
      <c r="H1119">
        <v>192.24</v>
      </c>
      <c r="I1119" t="s">
        <v>916</v>
      </c>
      <c r="K1119" t="b">
        <f>IF(Table1[[#This Row],[dispatch_date]]-Table1[[#This Row],[order_date]] &gt;=0, TRUE, FALSE)</f>
        <v>1</v>
      </c>
    </row>
    <row r="1120" spans="1:11" x14ac:dyDescent="0.2">
      <c r="A1120" t="s">
        <v>2082</v>
      </c>
      <c r="B1120" t="s">
        <v>987</v>
      </c>
      <c r="C1120" s="9">
        <v>45999</v>
      </c>
      <c r="D1120" s="9">
        <v>46001</v>
      </c>
      <c r="E1120" t="s">
        <v>69</v>
      </c>
      <c r="F1120" t="s">
        <v>576</v>
      </c>
      <c r="G1120">
        <v>48</v>
      </c>
      <c r="H1120">
        <v>256.32</v>
      </c>
      <c r="I1120" t="s">
        <v>1079</v>
      </c>
      <c r="K1120" t="b">
        <f>IF(Table1[[#This Row],[dispatch_date]]-Table1[[#This Row],[order_date]] &gt;=0, TRUE, FALSE)</f>
        <v>1</v>
      </c>
    </row>
    <row r="1121" spans="1:11" x14ac:dyDescent="0.2">
      <c r="A1121" t="s">
        <v>1261</v>
      </c>
      <c r="B1121" t="s">
        <v>1055</v>
      </c>
      <c r="C1121" s="9">
        <v>46000</v>
      </c>
      <c r="D1121" s="9">
        <v>46000</v>
      </c>
      <c r="E1121" t="s">
        <v>95</v>
      </c>
      <c r="G1121">
        <v>24</v>
      </c>
      <c r="H1121">
        <v>94.56</v>
      </c>
      <c r="I1121" t="s">
        <v>938</v>
      </c>
      <c r="J1121" t="s">
        <v>3134</v>
      </c>
      <c r="K1121" t="b">
        <f>IF(Table1[[#This Row],[dispatch_date]]-Table1[[#This Row],[order_date]] &gt;=0, TRUE, FALSE)</f>
        <v>1</v>
      </c>
    </row>
    <row r="1122" spans="1:11" x14ac:dyDescent="0.2">
      <c r="A1122" t="s">
        <v>1138</v>
      </c>
      <c r="B1122" t="s">
        <v>918</v>
      </c>
      <c r="C1122" s="9">
        <v>46001</v>
      </c>
      <c r="D1122" s="9">
        <v>46003</v>
      </c>
      <c r="E1122" t="s">
        <v>97</v>
      </c>
      <c r="F1122" t="s">
        <v>800</v>
      </c>
      <c r="G1122">
        <v>12</v>
      </c>
      <c r="H1122">
        <v>64.56</v>
      </c>
      <c r="I1122" t="s">
        <v>912</v>
      </c>
      <c r="K1122" t="b">
        <f>IF(Table1[[#This Row],[dispatch_date]]-Table1[[#This Row],[order_date]] &gt;=0, TRUE, FALSE)</f>
        <v>1</v>
      </c>
    </row>
    <row r="1123" spans="1:11" x14ac:dyDescent="0.2">
      <c r="A1123" t="s">
        <v>1667</v>
      </c>
      <c r="B1123" t="s">
        <v>987</v>
      </c>
      <c r="C1123" s="9">
        <v>46001</v>
      </c>
      <c r="D1123" s="9">
        <v>46003</v>
      </c>
      <c r="E1123" t="s">
        <v>95</v>
      </c>
      <c r="F1123" t="s">
        <v>739</v>
      </c>
      <c r="G1123">
        <v>6</v>
      </c>
      <c r="H1123">
        <v>23.64</v>
      </c>
      <c r="I1123" t="s">
        <v>1079</v>
      </c>
      <c r="K1123" t="b">
        <f>IF(Table1[[#This Row],[dispatch_date]]-Table1[[#This Row],[order_date]] &gt;=0, TRUE, FALSE)</f>
        <v>1</v>
      </c>
    </row>
    <row r="1124" spans="1:11" x14ac:dyDescent="0.2">
      <c r="A1124" t="s">
        <v>1962</v>
      </c>
      <c r="B1124" t="s">
        <v>1016</v>
      </c>
      <c r="C1124" s="9">
        <v>46001</v>
      </c>
      <c r="D1124" s="9">
        <v>46001</v>
      </c>
      <c r="E1124" t="s">
        <v>30</v>
      </c>
      <c r="F1124" t="s">
        <v>697</v>
      </c>
      <c r="G1124">
        <v>12</v>
      </c>
      <c r="H1124">
        <v>28.8</v>
      </c>
      <c r="I1124" t="s">
        <v>912</v>
      </c>
      <c r="K1124" t="b">
        <f>IF(Table1[[#This Row],[dispatch_date]]-Table1[[#This Row],[order_date]] &gt;=0, TRUE, FALSE)</f>
        <v>1</v>
      </c>
    </row>
    <row r="1125" spans="1:11" x14ac:dyDescent="0.2">
      <c r="A1125" t="s">
        <v>2289</v>
      </c>
      <c r="B1125" t="s">
        <v>1031</v>
      </c>
      <c r="C1125" s="9">
        <v>45942</v>
      </c>
      <c r="D1125" s="9">
        <v>45944</v>
      </c>
      <c r="E1125" t="s">
        <v>97</v>
      </c>
      <c r="F1125" t="s">
        <v>810</v>
      </c>
      <c r="G1125">
        <v>36</v>
      </c>
      <c r="H1125">
        <v>193.68</v>
      </c>
      <c r="I1125" t="s">
        <v>956</v>
      </c>
      <c r="J1125" t="s">
        <v>3134</v>
      </c>
      <c r="K1125" t="b">
        <f>IF(Table1[[#This Row],[dispatch_date]]-Table1[[#This Row],[order_date]] &gt;=0, TRUE, FALSE)</f>
        <v>1</v>
      </c>
    </row>
    <row r="1126" spans="1:11" x14ac:dyDescent="0.2">
      <c r="A1126" t="s">
        <v>2484</v>
      </c>
      <c r="B1126" t="s">
        <v>987</v>
      </c>
      <c r="C1126" s="9">
        <v>46002</v>
      </c>
      <c r="D1126" s="9"/>
      <c r="E1126" t="s">
        <v>90</v>
      </c>
      <c r="F1126" t="s">
        <v>209</v>
      </c>
      <c r="G1126">
        <v>72</v>
      </c>
      <c r="H1126">
        <v>604.79999999999995</v>
      </c>
      <c r="I1126" t="s">
        <v>1079</v>
      </c>
      <c r="K1126" t="b">
        <f>IF(Table1[[#This Row],[dispatch_date]]-Table1[[#This Row],[order_date]] &gt;=0, TRUE, FALSE)</f>
        <v>0</v>
      </c>
    </row>
    <row r="1127" spans="1:11" x14ac:dyDescent="0.2">
      <c r="A1127" t="s">
        <v>2508</v>
      </c>
      <c r="B1127" t="s">
        <v>922</v>
      </c>
      <c r="C1127" s="9">
        <v>46002</v>
      </c>
      <c r="D1127" s="9">
        <v>46005</v>
      </c>
      <c r="E1127" t="s">
        <v>108</v>
      </c>
      <c r="G1127">
        <v>48</v>
      </c>
      <c r="H1127">
        <v>342.72</v>
      </c>
      <c r="I1127" t="s">
        <v>912</v>
      </c>
      <c r="K1127" t="b">
        <f>IF(Table1[[#This Row],[dispatch_date]]-Table1[[#This Row],[order_date]] &gt;=0, TRUE, FALSE)</f>
        <v>1</v>
      </c>
    </row>
    <row r="1128" spans="1:11" x14ac:dyDescent="0.2">
      <c r="A1128" t="s">
        <v>1615</v>
      </c>
      <c r="B1128" t="s">
        <v>925</v>
      </c>
      <c r="C1128" s="9">
        <v>46003</v>
      </c>
      <c r="D1128" s="9">
        <v>46003</v>
      </c>
      <c r="E1128" t="s">
        <v>129</v>
      </c>
      <c r="F1128" t="s">
        <v>406</v>
      </c>
      <c r="G1128">
        <v>12</v>
      </c>
      <c r="H1128">
        <v>57</v>
      </c>
      <c r="I1128" t="s">
        <v>927</v>
      </c>
      <c r="K1128" t="b">
        <f>IF(Table1[[#This Row],[dispatch_date]]-Table1[[#This Row],[order_date]] &gt;=0, TRUE, FALSE)</f>
        <v>1</v>
      </c>
    </row>
    <row r="1129" spans="1:11" x14ac:dyDescent="0.2">
      <c r="A1129" t="s">
        <v>2053</v>
      </c>
      <c r="B1129" t="s">
        <v>1006</v>
      </c>
      <c r="C1129" s="9">
        <v>46003</v>
      </c>
      <c r="D1129" s="9">
        <v>46004</v>
      </c>
      <c r="E1129" t="s">
        <v>97</v>
      </c>
      <c r="F1129" t="s">
        <v>810</v>
      </c>
      <c r="G1129">
        <v>48</v>
      </c>
      <c r="H1129">
        <v>258.24</v>
      </c>
      <c r="I1129" t="s">
        <v>912</v>
      </c>
      <c r="K1129" t="b">
        <f>IF(Table1[[#This Row],[dispatch_date]]-Table1[[#This Row],[order_date]] &gt;=0, TRUE, FALSE)</f>
        <v>1</v>
      </c>
    </row>
    <row r="1130" spans="1:11" x14ac:dyDescent="0.2">
      <c r="A1130" t="s">
        <v>2358</v>
      </c>
      <c r="B1130" t="s">
        <v>1060</v>
      </c>
      <c r="C1130" s="9">
        <v>46003</v>
      </c>
      <c r="D1130" s="9">
        <v>46004</v>
      </c>
      <c r="E1130" t="s">
        <v>54</v>
      </c>
      <c r="F1130" t="s">
        <v>529</v>
      </c>
      <c r="G1130">
        <v>48</v>
      </c>
      <c r="H1130">
        <v>202.01</v>
      </c>
      <c r="I1130" t="s">
        <v>956</v>
      </c>
      <c r="K1130" t="b">
        <f>IF(Table1[[#This Row],[dispatch_date]]-Table1[[#This Row],[order_date]] &gt;=0, TRUE, FALSE)</f>
        <v>1</v>
      </c>
    </row>
    <row r="1131" spans="1:11" x14ac:dyDescent="0.2">
      <c r="A1131" t="s">
        <v>2456</v>
      </c>
      <c r="B1131" t="s">
        <v>925</v>
      </c>
      <c r="C1131" s="9">
        <v>46003</v>
      </c>
      <c r="D1131" s="9">
        <v>46006</v>
      </c>
      <c r="E1131" t="s">
        <v>84</v>
      </c>
      <c r="F1131" t="s">
        <v>303</v>
      </c>
      <c r="G1131">
        <v>6</v>
      </c>
      <c r="H1131">
        <v>12.71</v>
      </c>
      <c r="I1131" t="s">
        <v>927</v>
      </c>
      <c r="K1131" t="b">
        <f>IF(Table1[[#This Row],[dispatch_date]]-Table1[[#This Row],[order_date]] &gt;=0, TRUE, FALSE)</f>
        <v>1</v>
      </c>
    </row>
    <row r="1132" spans="1:11" x14ac:dyDescent="0.2">
      <c r="A1132" t="s">
        <v>2564</v>
      </c>
      <c r="B1132" t="s">
        <v>981</v>
      </c>
      <c r="C1132" s="9">
        <v>46003</v>
      </c>
      <c r="D1132" s="9">
        <v>46004</v>
      </c>
      <c r="E1132" t="s">
        <v>19</v>
      </c>
      <c r="F1132" t="s">
        <v>367</v>
      </c>
      <c r="G1132">
        <v>6</v>
      </c>
      <c r="H1132">
        <v>12.18</v>
      </c>
      <c r="I1132" t="s">
        <v>916</v>
      </c>
      <c r="K1132" t="b">
        <f>IF(Table1[[#This Row],[dispatch_date]]-Table1[[#This Row],[order_date]] &gt;=0, TRUE, FALSE)</f>
        <v>1</v>
      </c>
    </row>
    <row r="1133" spans="1:11" x14ac:dyDescent="0.2">
      <c r="A1133" t="s">
        <v>2841</v>
      </c>
      <c r="B1133" t="s">
        <v>1040</v>
      </c>
      <c r="C1133" s="9">
        <v>46003</v>
      </c>
      <c r="D1133" s="9">
        <v>46006</v>
      </c>
      <c r="E1133" t="s">
        <v>58</v>
      </c>
      <c r="F1133" t="s">
        <v>505</v>
      </c>
      <c r="G1133">
        <v>24</v>
      </c>
      <c r="H1133">
        <v>151.19999999999999</v>
      </c>
      <c r="I1133" t="s">
        <v>916</v>
      </c>
      <c r="K1133" t="b">
        <f>IF(Table1[[#This Row],[dispatch_date]]-Table1[[#This Row],[order_date]] &gt;=0, TRUE, FALSE)</f>
        <v>1</v>
      </c>
    </row>
    <row r="1134" spans="1:11" x14ac:dyDescent="0.2">
      <c r="A1134" t="s">
        <v>1139</v>
      </c>
      <c r="B1134" t="s">
        <v>1056</v>
      </c>
      <c r="C1134" s="9">
        <v>46004</v>
      </c>
      <c r="D1134" s="9">
        <v>46005</v>
      </c>
      <c r="E1134" t="s">
        <v>36</v>
      </c>
      <c r="F1134" t="s">
        <v>816</v>
      </c>
      <c r="G1134">
        <v>6</v>
      </c>
      <c r="H1134">
        <v>9.75</v>
      </c>
      <c r="I1134" t="s">
        <v>912</v>
      </c>
      <c r="K1134" t="b">
        <f>IF(Table1[[#This Row],[dispatch_date]]-Table1[[#This Row],[order_date]] &gt;=0, TRUE, FALSE)</f>
        <v>1</v>
      </c>
    </row>
    <row r="1135" spans="1:11" x14ac:dyDescent="0.2">
      <c r="A1135" t="s">
        <v>2784</v>
      </c>
      <c r="B1135" t="s">
        <v>1013</v>
      </c>
      <c r="C1135" s="9">
        <v>46004</v>
      </c>
      <c r="D1135" s="9">
        <v>46007</v>
      </c>
      <c r="E1135" t="s">
        <v>58</v>
      </c>
      <c r="F1135" t="s">
        <v>372</v>
      </c>
      <c r="G1135">
        <v>24</v>
      </c>
      <c r="H1135">
        <v>151.19999999999999</v>
      </c>
      <c r="I1135" t="s">
        <v>956</v>
      </c>
      <c r="K1135" t="b">
        <f>IF(Table1[[#This Row],[dispatch_date]]-Table1[[#This Row],[order_date]] &gt;=0, TRUE, FALSE)</f>
        <v>1</v>
      </c>
    </row>
    <row r="1136" spans="1:11" x14ac:dyDescent="0.2">
      <c r="A1136" t="s">
        <v>1131</v>
      </c>
      <c r="B1136" t="s">
        <v>985</v>
      </c>
      <c r="C1136" s="9">
        <v>46005</v>
      </c>
      <c r="D1136" s="9">
        <v>46007</v>
      </c>
      <c r="E1136" t="s">
        <v>125</v>
      </c>
      <c r="F1136" t="s">
        <v>736</v>
      </c>
      <c r="G1136">
        <v>24</v>
      </c>
      <c r="H1136">
        <v>173.96</v>
      </c>
      <c r="I1136" t="s">
        <v>1079</v>
      </c>
      <c r="K1136" t="b">
        <f>IF(Table1[[#This Row],[dispatch_date]]-Table1[[#This Row],[order_date]] &gt;=0, TRUE, FALSE)</f>
        <v>1</v>
      </c>
    </row>
    <row r="1137" spans="1:11" x14ac:dyDescent="0.2">
      <c r="A1137" t="s">
        <v>1788</v>
      </c>
      <c r="B1137" t="s">
        <v>1029</v>
      </c>
      <c r="C1137" s="9">
        <v>46005</v>
      </c>
      <c r="D1137" s="9">
        <v>46006</v>
      </c>
      <c r="E1137" t="s">
        <v>42</v>
      </c>
      <c r="F1137" t="s">
        <v>874</v>
      </c>
      <c r="G1137">
        <v>72</v>
      </c>
      <c r="H1137">
        <v>235.44</v>
      </c>
      <c r="I1137" t="s">
        <v>938</v>
      </c>
      <c r="K1137" t="b">
        <f>IF(Table1[[#This Row],[dispatch_date]]-Table1[[#This Row],[order_date]] &gt;=0, TRUE, FALSE)</f>
        <v>1</v>
      </c>
    </row>
    <row r="1138" spans="1:11" x14ac:dyDescent="0.2">
      <c r="A1138" t="s">
        <v>1952</v>
      </c>
      <c r="B1138" t="s">
        <v>910</v>
      </c>
      <c r="C1138" s="9">
        <v>46005</v>
      </c>
      <c r="D1138" s="9">
        <v>46008</v>
      </c>
      <c r="E1138" t="s">
        <v>63</v>
      </c>
      <c r="F1138" t="s">
        <v>844</v>
      </c>
      <c r="G1138">
        <v>72</v>
      </c>
      <c r="H1138">
        <v>705.6</v>
      </c>
      <c r="I1138" t="s">
        <v>912</v>
      </c>
      <c r="K1138" t="b">
        <f>IF(Table1[[#This Row],[dispatch_date]]-Table1[[#This Row],[order_date]] &gt;=0, TRUE, FALSE)</f>
        <v>1</v>
      </c>
    </row>
    <row r="1139" spans="1:11" x14ac:dyDescent="0.2">
      <c r="A1139" t="s">
        <v>2020</v>
      </c>
      <c r="B1139" t="s">
        <v>993</v>
      </c>
      <c r="C1139" s="9">
        <v>46005</v>
      </c>
      <c r="D1139" s="9">
        <v>46005</v>
      </c>
      <c r="E1139" t="s">
        <v>17</v>
      </c>
      <c r="F1139" t="s">
        <v>878</v>
      </c>
      <c r="G1139">
        <v>24</v>
      </c>
      <c r="H1139">
        <v>143.76</v>
      </c>
      <c r="I1139" t="s">
        <v>938</v>
      </c>
      <c r="K1139" t="b">
        <f>IF(Table1[[#This Row],[dispatch_date]]-Table1[[#This Row],[order_date]] &gt;=0, TRUE, FALSE)</f>
        <v>1</v>
      </c>
    </row>
    <row r="1140" spans="1:11" x14ac:dyDescent="0.2">
      <c r="A1140" t="s">
        <v>2604</v>
      </c>
      <c r="B1140" t="s">
        <v>942</v>
      </c>
      <c r="C1140" s="9">
        <v>46005</v>
      </c>
      <c r="D1140" s="9">
        <v>46008</v>
      </c>
      <c r="E1140" t="s">
        <v>97</v>
      </c>
      <c r="F1140" t="s">
        <v>800</v>
      </c>
      <c r="G1140">
        <v>36</v>
      </c>
      <c r="H1140">
        <v>193.68</v>
      </c>
      <c r="I1140" t="s">
        <v>916</v>
      </c>
      <c r="K1140" t="b">
        <f>IF(Table1[[#This Row],[dispatch_date]]-Table1[[#This Row],[order_date]] &gt;=0, TRUE, FALSE)</f>
        <v>1</v>
      </c>
    </row>
    <row r="1141" spans="1:11" x14ac:dyDescent="0.2">
      <c r="A1141" t="s">
        <v>1311</v>
      </c>
      <c r="B1141" t="s">
        <v>1074</v>
      </c>
      <c r="C1141" s="9">
        <v>46006</v>
      </c>
      <c r="D1141" s="9">
        <v>46007</v>
      </c>
      <c r="E1141" t="s">
        <v>71</v>
      </c>
      <c r="F1141" t="s">
        <v>495</v>
      </c>
      <c r="G1141">
        <v>24</v>
      </c>
      <c r="H1141">
        <v>228.24</v>
      </c>
      <c r="I1141" t="s">
        <v>916</v>
      </c>
      <c r="K1141" t="b">
        <f>IF(Table1[[#This Row],[dispatch_date]]-Table1[[#This Row],[order_date]] &gt;=0, TRUE, FALSE)</f>
        <v>1</v>
      </c>
    </row>
    <row r="1142" spans="1:11" x14ac:dyDescent="0.2">
      <c r="A1142" t="s">
        <v>1883</v>
      </c>
      <c r="B1142" t="s">
        <v>939</v>
      </c>
      <c r="C1142" s="9">
        <v>46007</v>
      </c>
      <c r="D1142" s="9">
        <v>46008</v>
      </c>
      <c r="E1142" t="s">
        <v>14</v>
      </c>
      <c r="G1142">
        <v>72</v>
      </c>
      <c r="H1142">
        <v>249.66</v>
      </c>
      <c r="I1142" t="s">
        <v>916</v>
      </c>
      <c r="K1142" t="b">
        <f>IF(Table1[[#This Row],[dispatch_date]]-Table1[[#This Row],[order_date]] &gt;=0, TRUE, FALSE)</f>
        <v>1</v>
      </c>
    </row>
    <row r="1143" spans="1:11" x14ac:dyDescent="0.2">
      <c r="A1143" t="s">
        <v>2571</v>
      </c>
      <c r="B1143" t="s">
        <v>968</v>
      </c>
      <c r="C1143" s="9">
        <v>46007</v>
      </c>
      <c r="D1143" s="9">
        <v>46008</v>
      </c>
      <c r="E1143" t="s">
        <v>65</v>
      </c>
      <c r="F1143" t="s">
        <v>807</v>
      </c>
      <c r="G1143">
        <v>72</v>
      </c>
      <c r="H1143">
        <v>955.44</v>
      </c>
      <c r="I1143" t="s">
        <v>938</v>
      </c>
      <c r="K1143" t="b">
        <f>IF(Table1[[#This Row],[dispatch_date]]-Table1[[#This Row],[order_date]] &gt;=0, TRUE, FALSE)</f>
        <v>1</v>
      </c>
    </row>
    <row r="1144" spans="1:11" x14ac:dyDescent="0.2">
      <c r="A1144" t="s">
        <v>1102</v>
      </c>
      <c r="B1144" t="s">
        <v>1048</v>
      </c>
      <c r="C1144" s="9">
        <v>46008</v>
      </c>
      <c r="D1144" s="9">
        <v>46010</v>
      </c>
      <c r="E1144" t="s">
        <v>54</v>
      </c>
      <c r="F1144" t="s">
        <v>341</v>
      </c>
      <c r="G1144">
        <v>12</v>
      </c>
      <c r="H1144">
        <v>53.16</v>
      </c>
      <c r="I1144" t="s">
        <v>912</v>
      </c>
      <c r="K1144" t="b">
        <f>IF(Table1[[#This Row],[dispatch_date]]-Table1[[#This Row],[order_date]] &gt;=0, TRUE, FALSE)</f>
        <v>1</v>
      </c>
    </row>
    <row r="1145" spans="1:11" x14ac:dyDescent="0.2">
      <c r="A1145" t="s">
        <v>2255</v>
      </c>
      <c r="B1145" t="s">
        <v>1059</v>
      </c>
      <c r="C1145" s="9">
        <v>46008</v>
      </c>
      <c r="D1145" s="9">
        <v>46009</v>
      </c>
      <c r="E1145" t="s">
        <v>116</v>
      </c>
      <c r="F1145" t="s">
        <v>540</v>
      </c>
      <c r="G1145">
        <v>24</v>
      </c>
      <c r="H1145">
        <v>110.35</v>
      </c>
      <c r="I1145" t="s">
        <v>956</v>
      </c>
      <c r="K1145" t="b">
        <f>IF(Table1[[#This Row],[dispatch_date]]-Table1[[#This Row],[order_date]] &gt;=0, TRUE, FALSE)</f>
        <v>1</v>
      </c>
    </row>
    <row r="1146" spans="1:11" x14ac:dyDescent="0.2">
      <c r="A1146" t="s">
        <v>2529</v>
      </c>
      <c r="B1146" t="s">
        <v>991</v>
      </c>
      <c r="C1146" s="9">
        <v>46008</v>
      </c>
      <c r="D1146" s="9">
        <v>46008</v>
      </c>
      <c r="E1146" t="s">
        <v>129</v>
      </c>
      <c r="G1146">
        <v>12</v>
      </c>
      <c r="H1146">
        <v>57</v>
      </c>
      <c r="I1146" t="s">
        <v>956</v>
      </c>
      <c r="K1146" t="b">
        <f>IF(Table1[[#This Row],[dispatch_date]]-Table1[[#This Row],[order_date]] &gt;=0, TRUE, FALSE)</f>
        <v>1</v>
      </c>
    </row>
    <row r="1147" spans="1:11" x14ac:dyDescent="0.2">
      <c r="A1147" t="s">
        <v>2753</v>
      </c>
      <c r="B1147" t="s">
        <v>989</v>
      </c>
      <c r="C1147" s="9">
        <v>46008</v>
      </c>
      <c r="D1147" s="9">
        <v>46011</v>
      </c>
      <c r="E1147" t="s">
        <v>19</v>
      </c>
      <c r="F1147" t="s">
        <v>851</v>
      </c>
      <c r="G1147">
        <v>24</v>
      </c>
      <c r="H1147">
        <v>48.72</v>
      </c>
      <c r="I1147" t="s">
        <v>916</v>
      </c>
      <c r="K1147" t="b">
        <f>IF(Table1[[#This Row],[dispatch_date]]-Table1[[#This Row],[order_date]] &gt;=0, TRUE, FALSE)</f>
        <v>1</v>
      </c>
    </row>
    <row r="1148" spans="1:11" x14ac:dyDescent="0.2">
      <c r="A1148" t="s">
        <v>2228</v>
      </c>
      <c r="B1148" t="s">
        <v>1016</v>
      </c>
      <c r="C1148" s="9">
        <v>46009</v>
      </c>
      <c r="D1148" s="9">
        <v>46010</v>
      </c>
      <c r="E1148" t="s">
        <v>63</v>
      </c>
      <c r="F1148" t="s">
        <v>744</v>
      </c>
      <c r="G1148">
        <v>12</v>
      </c>
      <c r="H1148">
        <v>111.72</v>
      </c>
      <c r="I1148" t="s">
        <v>912</v>
      </c>
      <c r="K1148" t="b">
        <f>IF(Table1[[#This Row],[dispatch_date]]-Table1[[#This Row],[order_date]] &gt;=0, TRUE, FALSE)</f>
        <v>1</v>
      </c>
    </row>
    <row r="1149" spans="1:11" x14ac:dyDescent="0.2">
      <c r="A1149" t="s">
        <v>2298</v>
      </c>
      <c r="B1149" t="s">
        <v>1049</v>
      </c>
      <c r="C1149" s="9">
        <v>46009</v>
      </c>
      <c r="D1149" s="9">
        <v>46010</v>
      </c>
      <c r="E1149" t="s">
        <v>80</v>
      </c>
      <c r="F1149" t="s">
        <v>352</v>
      </c>
      <c r="G1149">
        <v>72</v>
      </c>
      <c r="H1149">
        <v>428.4</v>
      </c>
      <c r="I1149" t="s">
        <v>938</v>
      </c>
      <c r="K1149" t="b">
        <f>IF(Table1[[#This Row],[dispatch_date]]-Table1[[#This Row],[order_date]] &gt;=0, TRUE, FALSE)</f>
        <v>1</v>
      </c>
    </row>
    <row r="1150" spans="1:11" x14ac:dyDescent="0.2">
      <c r="A1150" t="s">
        <v>1805</v>
      </c>
      <c r="B1150" t="s">
        <v>906</v>
      </c>
      <c r="C1150" s="9">
        <v>46010</v>
      </c>
      <c r="D1150" s="9">
        <v>46011</v>
      </c>
      <c r="E1150" t="s">
        <v>50</v>
      </c>
      <c r="F1150" t="s">
        <v>558</v>
      </c>
      <c r="G1150">
        <v>72</v>
      </c>
      <c r="H1150">
        <v>439.2</v>
      </c>
      <c r="I1150" t="s">
        <v>938</v>
      </c>
      <c r="K1150" t="b">
        <f>IF(Table1[[#This Row],[dispatch_date]]-Table1[[#This Row],[order_date]] &gt;=0, TRUE, FALSE)</f>
        <v>1</v>
      </c>
    </row>
    <row r="1151" spans="1:11" x14ac:dyDescent="0.2">
      <c r="A1151" t="s">
        <v>2129</v>
      </c>
      <c r="B1151" t="s">
        <v>1031</v>
      </c>
      <c r="C1151" s="9">
        <v>46010</v>
      </c>
      <c r="D1151" s="9">
        <v>46010</v>
      </c>
      <c r="E1151" t="s">
        <v>14</v>
      </c>
      <c r="F1151" t="s">
        <v>232</v>
      </c>
      <c r="G1151">
        <v>6</v>
      </c>
      <c r="H1151">
        <v>21.9</v>
      </c>
      <c r="I1151" t="s">
        <v>956</v>
      </c>
      <c r="K1151" t="b">
        <f>IF(Table1[[#This Row],[dispatch_date]]-Table1[[#This Row],[order_date]] &gt;=0, TRUE, FALSE)</f>
        <v>1</v>
      </c>
    </row>
    <row r="1152" spans="1:11" x14ac:dyDescent="0.2">
      <c r="A1152" t="s">
        <v>1683</v>
      </c>
      <c r="B1152" t="s">
        <v>901</v>
      </c>
      <c r="C1152" s="9">
        <v>46011</v>
      </c>
      <c r="D1152" s="9">
        <v>46014</v>
      </c>
      <c r="E1152" t="s">
        <v>8</v>
      </c>
      <c r="F1152" t="s">
        <v>825</v>
      </c>
      <c r="G1152">
        <v>24</v>
      </c>
      <c r="H1152">
        <v>144.72</v>
      </c>
      <c r="I1152" t="s">
        <v>956</v>
      </c>
      <c r="K1152" t="b">
        <f>IF(Table1[[#This Row],[dispatch_date]]-Table1[[#This Row],[order_date]] &gt;=0, TRUE, FALSE)</f>
        <v>1</v>
      </c>
    </row>
    <row r="1153" spans="1:11" x14ac:dyDescent="0.2">
      <c r="A1153" t="s">
        <v>1819</v>
      </c>
      <c r="B1153" t="s">
        <v>1018</v>
      </c>
      <c r="C1153" s="9">
        <v>46011</v>
      </c>
      <c r="D1153" s="9">
        <v>46012</v>
      </c>
      <c r="E1153" t="s">
        <v>123</v>
      </c>
      <c r="F1153" t="s">
        <v>721</v>
      </c>
      <c r="G1153">
        <v>48</v>
      </c>
      <c r="H1153">
        <v>318.74</v>
      </c>
      <c r="I1153" t="s">
        <v>916</v>
      </c>
      <c r="K1153" t="b">
        <f>IF(Table1[[#This Row],[dispatch_date]]-Table1[[#This Row],[order_date]] &gt;=0, TRUE, FALSE)</f>
        <v>1</v>
      </c>
    </row>
    <row r="1154" spans="1:11" x14ac:dyDescent="0.2">
      <c r="A1154" t="s">
        <v>2402</v>
      </c>
      <c r="B1154" t="s">
        <v>1076</v>
      </c>
      <c r="C1154" s="9">
        <v>46011</v>
      </c>
      <c r="D1154" s="9">
        <v>46011</v>
      </c>
      <c r="E1154" t="s">
        <v>58</v>
      </c>
      <c r="G1154">
        <v>48</v>
      </c>
      <c r="H1154">
        <v>302.39999999999998</v>
      </c>
      <c r="I1154" t="s">
        <v>927</v>
      </c>
      <c r="K1154" t="b">
        <f>IF(Table1[[#This Row],[dispatch_date]]-Table1[[#This Row],[order_date]] &gt;=0, TRUE, FALSE)</f>
        <v>1</v>
      </c>
    </row>
    <row r="1155" spans="1:11" x14ac:dyDescent="0.2">
      <c r="A1155" t="s">
        <v>2813</v>
      </c>
      <c r="B1155" t="s">
        <v>1024</v>
      </c>
      <c r="C1155" s="9">
        <v>46011</v>
      </c>
      <c r="D1155" s="9"/>
      <c r="E1155" t="s">
        <v>28</v>
      </c>
      <c r="F1155" t="s">
        <v>329</v>
      </c>
      <c r="G1155">
        <v>24</v>
      </c>
      <c r="H1155">
        <v>137.76</v>
      </c>
      <c r="I1155" t="s">
        <v>938</v>
      </c>
      <c r="K1155" t="b">
        <f>IF(Table1[[#This Row],[dispatch_date]]-Table1[[#This Row],[order_date]] &gt;=0, TRUE, FALSE)</f>
        <v>0</v>
      </c>
    </row>
    <row r="1156" spans="1:11" x14ac:dyDescent="0.2">
      <c r="A1156" t="s">
        <v>1124</v>
      </c>
      <c r="B1156" t="s">
        <v>991</v>
      </c>
      <c r="C1156" s="9">
        <v>46012</v>
      </c>
      <c r="D1156" s="9">
        <v>46015</v>
      </c>
      <c r="E1156" t="s">
        <v>50</v>
      </c>
      <c r="F1156" t="s">
        <v>558</v>
      </c>
      <c r="G1156">
        <v>36</v>
      </c>
      <c r="H1156">
        <v>219.6</v>
      </c>
      <c r="I1156" t="s">
        <v>956</v>
      </c>
      <c r="K1156" t="b">
        <f>IF(Table1[[#This Row],[dispatch_date]]-Table1[[#This Row],[order_date]] &gt;=0, TRUE, FALSE)</f>
        <v>1</v>
      </c>
    </row>
    <row r="1157" spans="1:11" x14ac:dyDescent="0.2">
      <c r="A1157" t="s">
        <v>1160</v>
      </c>
      <c r="B1157" t="s">
        <v>939</v>
      </c>
      <c r="C1157" s="9">
        <v>46012</v>
      </c>
      <c r="D1157" s="9">
        <v>46015</v>
      </c>
      <c r="E1157" t="s">
        <v>17</v>
      </c>
      <c r="F1157" t="s">
        <v>568</v>
      </c>
      <c r="G1157">
        <v>6</v>
      </c>
      <c r="H1157">
        <v>35.94</v>
      </c>
      <c r="I1157" t="s">
        <v>916</v>
      </c>
      <c r="K1157" t="b">
        <f>IF(Table1[[#This Row],[dispatch_date]]-Table1[[#This Row],[order_date]] &gt;=0, TRUE, FALSE)</f>
        <v>1</v>
      </c>
    </row>
    <row r="1158" spans="1:11" x14ac:dyDescent="0.2">
      <c r="A1158" t="s">
        <v>1647</v>
      </c>
      <c r="B1158" t="s">
        <v>954</v>
      </c>
      <c r="C1158" s="9">
        <v>46012</v>
      </c>
      <c r="D1158" s="9">
        <v>46015</v>
      </c>
      <c r="E1158" t="s">
        <v>54</v>
      </c>
      <c r="F1158" t="s">
        <v>449</v>
      </c>
      <c r="G1158">
        <v>24</v>
      </c>
      <c r="H1158">
        <v>106.32</v>
      </c>
      <c r="I1158" t="s">
        <v>956</v>
      </c>
      <c r="K1158" t="b">
        <f>IF(Table1[[#This Row],[dispatch_date]]-Table1[[#This Row],[order_date]] &gt;=0, TRUE, FALSE)</f>
        <v>1</v>
      </c>
    </row>
    <row r="1159" spans="1:11" x14ac:dyDescent="0.2">
      <c r="A1159" t="s">
        <v>1939</v>
      </c>
      <c r="B1159" t="s">
        <v>958</v>
      </c>
      <c r="C1159" s="9">
        <v>46012</v>
      </c>
      <c r="D1159" s="9">
        <v>46015</v>
      </c>
      <c r="E1159" t="s">
        <v>22</v>
      </c>
      <c r="F1159" t="s">
        <v>179</v>
      </c>
      <c r="G1159">
        <v>24</v>
      </c>
      <c r="H1159">
        <v>113.32</v>
      </c>
      <c r="I1159" t="s">
        <v>956</v>
      </c>
      <c r="K1159" t="b">
        <f>IF(Table1[[#This Row],[dispatch_date]]-Table1[[#This Row],[order_date]] &gt;=0, TRUE, FALSE)</f>
        <v>1</v>
      </c>
    </row>
    <row r="1160" spans="1:11" x14ac:dyDescent="0.2">
      <c r="A1160" t="s">
        <v>2235</v>
      </c>
      <c r="B1160" t="s">
        <v>983</v>
      </c>
      <c r="C1160" s="9">
        <v>46012</v>
      </c>
      <c r="D1160" s="9">
        <v>46013</v>
      </c>
      <c r="E1160" t="s">
        <v>112</v>
      </c>
      <c r="G1160">
        <v>24</v>
      </c>
      <c r="H1160">
        <v>137.03</v>
      </c>
      <c r="I1160" t="s">
        <v>916</v>
      </c>
      <c r="K1160" t="b">
        <f>IF(Table1[[#This Row],[dispatch_date]]-Table1[[#This Row],[order_date]] &gt;=0, TRUE, FALSE)</f>
        <v>1</v>
      </c>
    </row>
    <row r="1161" spans="1:11" x14ac:dyDescent="0.2">
      <c r="A1161" t="s">
        <v>2377</v>
      </c>
      <c r="B1161" t="s">
        <v>1060</v>
      </c>
      <c r="C1161" s="9">
        <v>46012</v>
      </c>
      <c r="D1161" s="9">
        <v>46014</v>
      </c>
      <c r="E1161" t="s">
        <v>22</v>
      </c>
      <c r="G1161">
        <v>6</v>
      </c>
      <c r="H1161">
        <v>28.33</v>
      </c>
      <c r="I1161" t="s">
        <v>956</v>
      </c>
      <c r="K1161" t="b">
        <f>IF(Table1[[#This Row],[dispatch_date]]-Table1[[#This Row],[order_date]] &gt;=0, TRUE, FALSE)</f>
        <v>1</v>
      </c>
    </row>
    <row r="1162" spans="1:11" x14ac:dyDescent="0.2">
      <c r="A1162" t="s">
        <v>2525</v>
      </c>
      <c r="B1162" t="s">
        <v>936</v>
      </c>
      <c r="C1162" s="9">
        <v>46012</v>
      </c>
      <c r="D1162" s="9">
        <v>46013</v>
      </c>
      <c r="E1162" t="s">
        <v>82</v>
      </c>
      <c r="F1162" t="s">
        <v>410</v>
      </c>
      <c r="G1162">
        <v>48</v>
      </c>
      <c r="H1162">
        <v>94.56</v>
      </c>
      <c r="I1162" t="s">
        <v>938</v>
      </c>
      <c r="K1162" t="b">
        <f>IF(Table1[[#This Row],[dispatch_date]]-Table1[[#This Row],[order_date]] &gt;=0, TRUE, FALSE)</f>
        <v>1</v>
      </c>
    </row>
    <row r="1163" spans="1:11" x14ac:dyDescent="0.2">
      <c r="A1163" t="s">
        <v>2592</v>
      </c>
      <c r="B1163" t="s">
        <v>948</v>
      </c>
      <c r="C1163" s="9">
        <v>46012</v>
      </c>
      <c r="D1163" s="9">
        <v>46014</v>
      </c>
      <c r="E1163" t="s">
        <v>74</v>
      </c>
      <c r="F1163" t="s">
        <v>708</v>
      </c>
      <c r="G1163">
        <v>24</v>
      </c>
      <c r="H1163">
        <v>51.6</v>
      </c>
      <c r="I1163" t="s">
        <v>938</v>
      </c>
      <c r="K1163" t="b">
        <f>IF(Table1[[#This Row],[dispatch_date]]-Table1[[#This Row],[order_date]] &gt;=0, TRUE, FALSE)</f>
        <v>1</v>
      </c>
    </row>
    <row r="1164" spans="1:11" x14ac:dyDescent="0.2">
      <c r="A1164" t="s">
        <v>1592</v>
      </c>
      <c r="B1164" t="s">
        <v>1046</v>
      </c>
      <c r="C1164" s="9">
        <v>46013</v>
      </c>
      <c r="D1164" s="9">
        <v>46016</v>
      </c>
      <c r="E1164" t="s">
        <v>84</v>
      </c>
      <c r="G1164">
        <v>24</v>
      </c>
      <c r="H1164">
        <v>50.84</v>
      </c>
      <c r="I1164" t="s">
        <v>912</v>
      </c>
      <c r="K1164" t="b">
        <f>IF(Table1[[#This Row],[dispatch_date]]-Table1[[#This Row],[order_date]] &gt;=0, TRUE, FALSE)</f>
        <v>1</v>
      </c>
    </row>
    <row r="1165" spans="1:11" x14ac:dyDescent="0.2">
      <c r="A1165" t="s">
        <v>2259</v>
      </c>
      <c r="B1165" t="s">
        <v>989</v>
      </c>
      <c r="C1165" s="9">
        <v>46013</v>
      </c>
      <c r="D1165" s="9">
        <v>46016</v>
      </c>
      <c r="E1165" t="s">
        <v>118</v>
      </c>
      <c r="F1165" t="s">
        <v>288</v>
      </c>
      <c r="G1165">
        <v>12</v>
      </c>
      <c r="H1165">
        <v>157.68</v>
      </c>
      <c r="I1165" t="s">
        <v>916</v>
      </c>
      <c r="K1165" t="b">
        <f>IF(Table1[[#This Row],[dispatch_date]]-Table1[[#This Row],[order_date]] &gt;=0, TRUE, FALSE)</f>
        <v>1</v>
      </c>
    </row>
    <row r="1166" spans="1:11" x14ac:dyDescent="0.2">
      <c r="A1166" t="s">
        <v>2558</v>
      </c>
      <c r="B1166" t="s">
        <v>983</v>
      </c>
      <c r="C1166" s="9">
        <v>46013</v>
      </c>
      <c r="D1166" s="9">
        <v>46014</v>
      </c>
      <c r="E1166" t="s">
        <v>48</v>
      </c>
      <c r="G1166">
        <v>36</v>
      </c>
      <c r="H1166">
        <v>242.64</v>
      </c>
      <c r="I1166" t="s">
        <v>916</v>
      </c>
      <c r="K1166" t="b">
        <f>IF(Table1[[#This Row],[dispatch_date]]-Table1[[#This Row],[order_date]] &gt;=0, TRUE, FALSE)</f>
        <v>1</v>
      </c>
    </row>
    <row r="1167" spans="1:11" x14ac:dyDescent="0.2">
      <c r="A1167" t="s">
        <v>1877</v>
      </c>
      <c r="B1167" t="s">
        <v>1076</v>
      </c>
      <c r="C1167" s="9">
        <v>46014</v>
      </c>
      <c r="D1167" s="9">
        <v>46017</v>
      </c>
      <c r="E1167" t="s">
        <v>114</v>
      </c>
      <c r="F1167" t="s">
        <v>814</v>
      </c>
      <c r="G1167">
        <v>12</v>
      </c>
      <c r="H1167">
        <v>56.43</v>
      </c>
      <c r="I1167" t="s">
        <v>927</v>
      </c>
      <c r="K1167" t="b">
        <f>IF(Table1[[#This Row],[dispatch_date]]-Table1[[#This Row],[order_date]] &gt;=0, TRUE, FALSE)</f>
        <v>1</v>
      </c>
    </row>
    <row r="1168" spans="1:11" x14ac:dyDescent="0.2">
      <c r="A1168" t="s">
        <v>2217</v>
      </c>
      <c r="B1168" t="s">
        <v>922</v>
      </c>
      <c r="C1168" s="9">
        <v>46014</v>
      </c>
      <c r="D1168" s="9">
        <v>46017</v>
      </c>
      <c r="E1168" t="s">
        <v>112</v>
      </c>
      <c r="F1168" t="s">
        <v>650</v>
      </c>
      <c r="G1168">
        <v>24</v>
      </c>
      <c r="H1168">
        <v>137.03</v>
      </c>
      <c r="I1168" t="s">
        <v>1079</v>
      </c>
      <c r="K1168" t="b">
        <f>IF(Table1[[#This Row],[dispatch_date]]-Table1[[#This Row],[order_date]] &gt;=0, TRUE, FALSE)</f>
        <v>1</v>
      </c>
    </row>
    <row r="1169" spans="1:11" x14ac:dyDescent="0.2">
      <c r="A1169" t="s">
        <v>2858</v>
      </c>
      <c r="B1169" t="s">
        <v>901</v>
      </c>
      <c r="C1169" s="9">
        <v>46014</v>
      </c>
      <c r="D1169" s="9">
        <v>46014</v>
      </c>
      <c r="E1169" t="s">
        <v>71</v>
      </c>
      <c r="F1169" t="s">
        <v>881</v>
      </c>
      <c r="G1169">
        <v>24</v>
      </c>
      <c r="H1169">
        <v>228.24</v>
      </c>
      <c r="I1169" t="s">
        <v>956</v>
      </c>
      <c r="K1169" t="b">
        <f>IF(Table1[[#This Row],[dispatch_date]]-Table1[[#This Row],[order_date]] &gt;=0, TRUE, FALSE)</f>
        <v>1</v>
      </c>
    </row>
    <row r="1170" spans="1:11" x14ac:dyDescent="0.2">
      <c r="A1170" t="s">
        <v>2856</v>
      </c>
      <c r="B1170" t="s">
        <v>942</v>
      </c>
      <c r="C1170" s="9">
        <v>46015</v>
      </c>
      <c r="D1170" s="9">
        <v>46017</v>
      </c>
      <c r="E1170" t="s">
        <v>42</v>
      </c>
      <c r="F1170" t="s">
        <v>835</v>
      </c>
      <c r="G1170">
        <v>36</v>
      </c>
      <c r="H1170">
        <v>111.83</v>
      </c>
      <c r="I1170" t="s">
        <v>916</v>
      </c>
      <c r="K1170" t="b">
        <f>IF(Table1[[#This Row],[dispatch_date]]-Table1[[#This Row],[order_date]] &gt;=0, TRUE, FALSE)</f>
        <v>1</v>
      </c>
    </row>
    <row r="1171" spans="1:11" x14ac:dyDescent="0.2">
      <c r="A1171" t="s">
        <v>1310</v>
      </c>
      <c r="B1171" t="s">
        <v>987</v>
      </c>
      <c r="C1171" s="9">
        <v>46016</v>
      </c>
      <c r="D1171" s="9">
        <v>46018</v>
      </c>
      <c r="E1171" t="s">
        <v>14</v>
      </c>
      <c r="G1171">
        <v>12</v>
      </c>
      <c r="H1171">
        <v>43.8</v>
      </c>
      <c r="I1171" t="s">
        <v>1079</v>
      </c>
      <c r="K1171" t="b">
        <f>IF(Table1[[#This Row],[dispatch_date]]-Table1[[#This Row],[order_date]] &gt;=0, TRUE, FALSE)</f>
        <v>1</v>
      </c>
    </row>
    <row r="1172" spans="1:11" x14ac:dyDescent="0.2">
      <c r="A1172" t="s">
        <v>2464</v>
      </c>
      <c r="B1172" t="s">
        <v>1061</v>
      </c>
      <c r="C1172" s="9">
        <v>46016</v>
      </c>
      <c r="D1172" s="9">
        <v>46018</v>
      </c>
      <c r="E1172" t="s">
        <v>114</v>
      </c>
      <c r="F1172" t="s">
        <v>706</v>
      </c>
      <c r="G1172">
        <v>72</v>
      </c>
      <c r="H1172">
        <v>356.4</v>
      </c>
      <c r="I1172" t="s">
        <v>912</v>
      </c>
      <c r="K1172" t="b">
        <f>IF(Table1[[#This Row],[dispatch_date]]-Table1[[#This Row],[order_date]] &gt;=0, TRUE, FALSE)</f>
        <v>1</v>
      </c>
    </row>
    <row r="1173" spans="1:11" x14ac:dyDescent="0.2">
      <c r="A1173" t="s">
        <v>1187</v>
      </c>
      <c r="B1173" t="s">
        <v>1045</v>
      </c>
      <c r="C1173" s="9">
        <v>46017</v>
      </c>
      <c r="D1173" s="9">
        <v>46020</v>
      </c>
      <c r="E1173" t="s">
        <v>86</v>
      </c>
      <c r="F1173" t="s">
        <v>666</v>
      </c>
      <c r="G1173">
        <v>72</v>
      </c>
      <c r="H1173">
        <v>229.68</v>
      </c>
      <c r="I1173" t="s">
        <v>912</v>
      </c>
      <c r="K1173" t="b">
        <f>IF(Table1[[#This Row],[dispatch_date]]-Table1[[#This Row],[order_date]] &gt;=0, TRUE, FALSE)</f>
        <v>1</v>
      </c>
    </row>
    <row r="1174" spans="1:11" x14ac:dyDescent="0.2">
      <c r="A1174" t="s">
        <v>2232</v>
      </c>
      <c r="B1174" t="s">
        <v>918</v>
      </c>
      <c r="C1174" s="9">
        <v>46018</v>
      </c>
      <c r="D1174" s="9">
        <v>46019</v>
      </c>
      <c r="E1174" t="s">
        <v>44</v>
      </c>
      <c r="G1174">
        <v>24</v>
      </c>
      <c r="H1174">
        <v>137.94</v>
      </c>
      <c r="I1174" t="s">
        <v>927</v>
      </c>
      <c r="K1174" t="b">
        <f>IF(Table1[[#This Row],[dispatch_date]]-Table1[[#This Row],[order_date]] &gt;=0, TRUE, FALSE)</f>
        <v>1</v>
      </c>
    </row>
    <row r="1175" spans="1:11" x14ac:dyDescent="0.2">
      <c r="A1175" t="s">
        <v>2355</v>
      </c>
      <c r="B1175" t="s">
        <v>1052</v>
      </c>
      <c r="C1175" s="9">
        <v>46018</v>
      </c>
      <c r="D1175" s="9">
        <v>46021</v>
      </c>
      <c r="E1175" t="s">
        <v>19</v>
      </c>
      <c r="F1175" t="s">
        <v>646</v>
      </c>
      <c r="G1175">
        <v>24</v>
      </c>
      <c r="H1175">
        <v>46.28</v>
      </c>
      <c r="I1175" t="s">
        <v>956</v>
      </c>
      <c r="K1175" t="b">
        <f>IF(Table1[[#This Row],[dispatch_date]]-Table1[[#This Row],[order_date]] &gt;=0, TRUE, FALSE)</f>
        <v>1</v>
      </c>
    </row>
    <row r="1176" spans="1:11" x14ac:dyDescent="0.2">
      <c r="A1176" t="s">
        <v>2614</v>
      </c>
      <c r="B1176" t="s">
        <v>1077</v>
      </c>
      <c r="C1176" s="9">
        <v>46018</v>
      </c>
      <c r="D1176" s="9">
        <v>46018</v>
      </c>
      <c r="E1176" t="s">
        <v>71</v>
      </c>
      <c r="F1176" t="s">
        <v>782</v>
      </c>
      <c r="G1176">
        <v>12</v>
      </c>
      <c r="H1176">
        <v>114.12</v>
      </c>
      <c r="I1176" t="s">
        <v>1079</v>
      </c>
      <c r="K1176" t="b">
        <f>IF(Table1[[#This Row],[dispatch_date]]-Table1[[#This Row],[order_date]] &gt;=0, TRUE, FALSE)</f>
        <v>1</v>
      </c>
    </row>
    <row r="1177" spans="1:11" x14ac:dyDescent="0.2">
      <c r="A1177" t="s">
        <v>2861</v>
      </c>
      <c r="B1177" t="s">
        <v>1055</v>
      </c>
      <c r="C1177" s="9">
        <v>46018</v>
      </c>
      <c r="D1177" s="9">
        <v>46021</v>
      </c>
      <c r="E1177" t="s">
        <v>121</v>
      </c>
      <c r="F1177" t="s">
        <v>334</v>
      </c>
      <c r="G1177">
        <v>24</v>
      </c>
      <c r="H1177">
        <v>308.16000000000003</v>
      </c>
      <c r="I1177" t="s">
        <v>938</v>
      </c>
      <c r="K1177" t="b">
        <f>IF(Table1[[#This Row],[dispatch_date]]-Table1[[#This Row],[order_date]] &gt;=0, TRUE, FALSE)</f>
        <v>1</v>
      </c>
    </row>
    <row r="1178" spans="1:11" x14ac:dyDescent="0.2">
      <c r="A1178" t="s">
        <v>1392</v>
      </c>
      <c r="B1178" t="s">
        <v>1076</v>
      </c>
      <c r="C1178" s="9">
        <v>46019</v>
      </c>
      <c r="D1178" s="9">
        <v>46020</v>
      </c>
      <c r="E1178" t="s">
        <v>80</v>
      </c>
      <c r="F1178" t="s">
        <v>352</v>
      </c>
      <c r="G1178">
        <v>48</v>
      </c>
      <c r="H1178">
        <v>285.60000000000002</v>
      </c>
      <c r="I1178" t="s">
        <v>927</v>
      </c>
      <c r="K1178" t="b">
        <f>IF(Table1[[#This Row],[dispatch_date]]-Table1[[#This Row],[order_date]] &gt;=0, TRUE, FALSE)</f>
        <v>1</v>
      </c>
    </row>
    <row r="1179" spans="1:11" x14ac:dyDescent="0.2">
      <c r="A1179" t="s">
        <v>1598</v>
      </c>
      <c r="B1179" t="s">
        <v>1077</v>
      </c>
      <c r="C1179" s="9">
        <v>46019</v>
      </c>
      <c r="D1179" s="9">
        <v>46022</v>
      </c>
      <c r="E1179" t="s">
        <v>8</v>
      </c>
      <c r="F1179" t="s">
        <v>252</v>
      </c>
      <c r="G1179">
        <v>48</v>
      </c>
      <c r="H1179">
        <v>289.44</v>
      </c>
      <c r="I1179" t="s">
        <v>1079</v>
      </c>
      <c r="K1179" t="b">
        <f>IF(Table1[[#This Row],[dispatch_date]]-Table1[[#This Row],[order_date]] &gt;=0, TRUE, FALSE)</f>
        <v>1</v>
      </c>
    </row>
    <row r="1180" spans="1:11" x14ac:dyDescent="0.2">
      <c r="A1180" t="s">
        <v>1764</v>
      </c>
      <c r="B1180" t="s">
        <v>987</v>
      </c>
      <c r="C1180" s="9">
        <v>46019</v>
      </c>
      <c r="D1180" s="9">
        <v>46022</v>
      </c>
      <c r="E1180" t="s">
        <v>38</v>
      </c>
      <c r="F1180" t="s">
        <v>889</v>
      </c>
      <c r="G1180">
        <v>6</v>
      </c>
      <c r="H1180">
        <v>30.6</v>
      </c>
      <c r="I1180" t="s">
        <v>1079</v>
      </c>
      <c r="K1180" t="b">
        <f>IF(Table1[[#This Row],[dispatch_date]]-Table1[[#This Row],[order_date]] &gt;=0, TRUE, FALSE)</f>
        <v>1</v>
      </c>
    </row>
    <row r="1181" spans="1:11" x14ac:dyDescent="0.2">
      <c r="A1181" t="s">
        <v>2546</v>
      </c>
      <c r="B1181" t="s">
        <v>942</v>
      </c>
      <c r="C1181" s="9">
        <v>46019</v>
      </c>
      <c r="D1181" s="9">
        <v>46020</v>
      </c>
      <c r="E1181" t="s">
        <v>74</v>
      </c>
      <c r="F1181" t="s">
        <v>708</v>
      </c>
      <c r="G1181">
        <v>24</v>
      </c>
      <c r="H1181">
        <v>51.6</v>
      </c>
      <c r="I1181" t="s">
        <v>916</v>
      </c>
      <c r="K1181" t="b">
        <f>IF(Table1[[#This Row],[dispatch_date]]-Table1[[#This Row],[order_date]] &gt;=0, TRUE, FALSE)</f>
        <v>1</v>
      </c>
    </row>
    <row r="1182" spans="1:11" x14ac:dyDescent="0.2">
      <c r="A1182" t="s">
        <v>2805</v>
      </c>
      <c r="B1182" t="s">
        <v>1060</v>
      </c>
      <c r="C1182" s="9">
        <v>46019</v>
      </c>
      <c r="D1182" s="9">
        <v>46020</v>
      </c>
      <c r="E1182" t="s">
        <v>99</v>
      </c>
      <c r="F1182" t="s">
        <v>658</v>
      </c>
      <c r="G1182">
        <v>6</v>
      </c>
      <c r="H1182">
        <v>44.34</v>
      </c>
      <c r="I1182" t="s">
        <v>956</v>
      </c>
      <c r="K1182" t="b">
        <f>IF(Table1[[#This Row],[dispatch_date]]-Table1[[#This Row],[order_date]] &gt;=0, TRUE, FALSE)</f>
        <v>1</v>
      </c>
    </row>
    <row r="1183" spans="1:11" x14ac:dyDescent="0.2">
      <c r="A1183" t="s">
        <v>2653</v>
      </c>
      <c r="B1183" t="s">
        <v>987</v>
      </c>
      <c r="C1183" s="9">
        <v>46020</v>
      </c>
      <c r="D1183" s="9"/>
      <c r="E1183" t="s">
        <v>110</v>
      </c>
      <c r="F1183" t="s">
        <v>455</v>
      </c>
      <c r="G1183">
        <v>6</v>
      </c>
      <c r="H1183">
        <v>19.62</v>
      </c>
      <c r="I1183" t="s">
        <v>1079</v>
      </c>
      <c r="K1183" t="b">
        <f>IF(Table1[[#This Row],[dispatch_date]]-Table1[[#This Row],[order_date]] &gt;=0, TRUE, FALSE)</f>
        <v>0</v>
      </c>
    </row>
    <row r="1184" spans="1:11" x14ac:dyDescent="0.2">
      <c r="A1184" t="s">
        <v>1326</v>
      </c>
      <c r="B1184" t="s">
        <v>1048</v>
      </c>
      <c r="C1184" s="9">
        <v>46021</v>
      </c>
      <c r="D1184" s="9">
        <v>46023</v>
      </c>
      <c r="E1184" t="s">
        <v>103</v>
      </c>
      <c r="F1184" t="s">
        <v>776</v>
      </c>
      <c r="G1184">
        <v>48</v>
      </c>
      <c r="H1184">
        <v>346.08</v>
      </c>
      <c r="I1184" t="s">
        <v>912</v>
      </c>
      <c r="K1184" t="b">
        <f>IF(Table1[[#This Row],[dispatch_date]]-Table1[[#This Row],[order_date]] &gt;=0, TRUE, FALSE)</f>
        <v>1</v>
      </c>
    </row>
    <row r="1185" spans="1:11" x14ac:dyDescent="0.2">
      <c r="A1185" t="s">
        <v>2688</v>
      </c>
      <c r="B1185" t="s">
        <v>989</v>
      </c>
      <c r="C1185" s="9">
        <v>46021</v>
      </c>
      <c r="D1185" s="9">
        <v>46021</v>
      </c>
      <c r="E1185" t="s">
        <v>129</v>
      </c>
      <c r="F1185" t="s">
        <v>406</v>
      </c>
      <c r="G1185">
        <v>24</v>
      </c>
      <c r="H1185">
        <v>114</v>
      </c>
      <c r="I1185" t="s">
        <v>916</v>
      </c>
      <c r="K1185" t="b">
        <f>IF(Table1[[#This Row],[dispatch_date]]-Table1[[#This Row],[order_date]] &gt;=0, TRUE, FALSE)</f>
        <v>1</v>
      </c>
    </row>
    <row r="1186" spans="1:11" x14ac:dyDescent="0.2">
      <c r="A1186" t="s">
        <v>1588</v>
      </c>
      <c r="B1186" t="s">
        <v>939</v>
      </c>
      <c r="C1186" s="9">
        <v>46022</v>
      </c>
      <c r="D1186" s="9">
        <v>46024</v>
      </c>
      <c r="E1186" t="s">
        <v>121</v>
      </c>
      <c r="F1186" t="s">
        <v>334</v>
      </c>
      <c r="G1186">
        <v>24</v>
      </c>
      <c r="H1186">
        <v>308.16000000000003</v>
      </c>
      <c r="I1186" t="s">
        <v>916</v>
      </c>
      <c r="K1186" t="b">
        <f>IF(Table1[[#This Row],[dispatch_date]]-Table1[[#This Row],[order_date]] &gt;=0, TRUE, FALSE)</f>
        <v>1</v>
      </c>
    </row>
    <row r="1187" spans="1:11" x14ac:dyDescent="0.2">
      <c r="A1187" t="s">
        <v>1668</v>
      </c>
      <c r="B1187" t="s">
        <v>1024</v>
      </c>
      <c r="C1187" s="9">
        <v>46022</v>
      </c>
      <c r="D1187" s="9">
        <v>46025</v>
      </c>
      <c r="E1187" t="s">
        <v>88</v>
      </c>
      <c r="F1187" t="s">
        <v>648</v>
      </c>
      <c r="G1187">
        <v>24</v>
      </c>
      <c r="H1187">
        <v>99.12</v>
      </c>
      <c r="I1187" t="s">
        <v>938</v>
      </c>
      <c r="K1187" t="b">
        <f>IF(Table1[[#This Row],[dispatch_date]]-Table1[[#This Row],[order_date]] &gt;=0, TRUE, FALSE)</f>
        <v>1</v>
      </c>
    </row>
    <row r="1188" spans="1:11" x14ac:dyDescent="0.2">
      <c r="A1188" t="s">
        <v>1843</v>
      </c>
      <c r="B1188" t="s">
        <v>1055</v>
      </c>
      <c r="C1188" s="9">
        <v>46022</v>
      </c>
      <c r="D1188" s="9">
        <v>46022</v>
      </c>
      <c r="E1188" t="s">
        <v>125</v>
      </c>
      <c r="F1188" t="s">
        <v>736</v>
      </c>
      <c r="G1188">
        <v>36</v>
      </c>
      <c r="H1188">
        <v>260.95</v>
      </c>
      <c r="I1188" t="s">
        <v>927</v>
      </c>
      <c r="K1188" t="b">
        <f>IF(Table1[[#This Row],[dispatch_date]]-Table1[[#This Row],[order_date]] &gt;=0, TRUE, FALSE)</f>
        <v>1</v>
      </c>
    </row>
    <row r="1189" spans="1:11" x14ac:dyDescent="0.2">
      <c r="A1189" t="s">
        <v>2076</v>
      </c>
      <c r="B1189" t="s">
        <v>989</v>
      </c>
      <c r="C1189" s="9">
        <v>46022</v>
      </c>
      <c r="D1189" s="9"/>
      <c r="E1189" t="s">
        <v>93</v>
      </c>
      <c r="F1189" t="s">
        <v>204</v>
      </c>
      <c r="G1189">
        <v>24</v>
      </c>
      <c r="H1189">
        <v>63.61</v>
      </c>
      <c r="I1189" t="s">
        <v>916</v>
      </c>
      <c r="K1189" t="b">
        <f>IF(Table1[[#This Row],[dispatch_date]]-Table1[[#This Row],[order_date]] &gt;=0, TRUE, FALSE)</f>
        <v>0</v>
      </c>
    </row>
    <row r="1190" spans="1:11" x14ac:dyDescent="0.2">
      <c r="A1190" t="s">
        <v>1328</v>
      </c>
      <c r="B1190" t="s">
        <v>991</v>
      </c>
      <c r="C1190" s="9">
        <v>46054</v>
      </c>
      <c r="D1190" s="9">
        <v>46057</v>
      </c>
      <c r="E1190" t="s">
        <v>125</v>
      </c>
      <c r="F1190" t="s">
        <v>780</v>
      </c>
      <c r="G1190">
        <v>36</v>
      </c>
      <c r="H1190">
        <v>274.68</v>
      </c>
      <c r="I1190" t="s">
        <v>1079</v>
      </c>
      <c r="K1190" t="b">
        <f>IF(Table1[[#This Row],[dispatch_date]]-Table1[[#This Row],[order_date]] &gt;=0, TRUE, FALSE)</f>
        <v>1</v>
      </c>
    </row>
    <row r="1191" spans="1:11" x14ac:dyDescent="0.2">
      <c r="A1191" t="s">
        <v>2191</v>
      </c>
      <c r="B1191" t="s">
        <v>914</v>
      </c>
      <c r="C1191" s="9">
        <v>46024</v>
      </c>
      <c r="D1191" s="9"/>
      <c r="E1191" t="s">
        <v>90</v>
      </c>
      <c r="F1191" t="s">
        <v>209</v>
      </c>
      <c r="G1191">
        <v>12</v>
      </c>
      <c r="H1191">
        <v>100.8</v>
      </c>
      <c r="I1191" t="s">
        <v>916</v>
      </c>
      <c r="K1191" t="b">
        <f>IF(Table1[[#This Row],[dispatch_date]]-Table1[[#This Row],[order_date]] &gt;=0, TRUE, FALSE)</f>
        <v>0</v>
      </c>
    </row>
    <row r="1192" spans="1:11" x14ac:dyDescent="0.2">
      <c r="A1192" t="s">
        <v>2611</v>
      </c>
      <c r="B1192" t="s">
        <v>985</v>
      </c>
      <c r="C1192" s="9">
        <v>46054</v>
      </c>
      <c r="D1192" s="9">
        <v>46054</v>
      </c>
      <c r="E1192" t="s">
        <v>129</v>
      </c>
      <c r="F1192" t="s">
        <v>725</v>
      </c>
      <c r="G1192">
        <v>72</v>
      </c>
      <c r="H1192">
        <v>342</v>
      </c>
      <c r="I1192" t="s">
        <v>1079</v>
      </c>
      <c r="K1192" t="b">
        <f>IF(Table1[[#This Row],[dispatch_date]]-Table1[[#This Row],[order_date]] &gt;=0, TRUE, FALSE)</f>
        <v>1</v>
      </c>
    </row>
    <row r="1193" spans="1:11" x14ac:dyDescent="0.2">
      <c r="A1193" t="s">
        <v>2819</v>
      </c>
      <c r="B1193" t="s">
        <v>968</v>
      </c>
      <c r="C1193" s="9">
        <v>46024</v>
      </c>
      <c r="D1193" s="9">
        <v>46025</v>
      </c>
      <c r="E1193" t="s">
        <v>127</v>
      </c>
      <c r="F1193" t="s">
        <v>683</v>
      </c>
      <c r="G1193">
        <v>48</v>
      </c>
      <c r="H1193">
        <v>196.8</v>
      </c>
      <c r="I1193" t="s">
        <v>938</v>
      </c>
      <c r="K1193" t="b">
        <f>IF(Table1[[#This Row],[dispatch_date]]-Table1[[#This Row],[order_date]] &gt;=0, TRUE, FALSE)</f>
        <v>1</v>
      </c>
    </row>
    <row r="1194" spans="1:11" x14ac:dyDescent="0.2">
      <c r="A1194" t="s">
        <v>2025</v>
      </c>
      <c r="B1194" t="s">
        <v>1016</v>
      </c>
      <c r="C1194" s="9">
        <v>46025</v>
      </c>
      <c r="D1194" s="9">
        <v>46027</v>
      </c>
      <c r="E1194" t="s">
        <v>25</v>
      </c>
      <c r="G1194">
        <v>24</v>
      </c>
      <c r="H1194">
        <v>133.19999999999999</v>
      </c>
      <c r="I1194" t="s">
        <v>912</v>
      </c>
      <c r="K1194" t="b">
        <f>IF(Table1[[#This Row],[dispatch_date]]-Table1[[#This Row],[order_date]] &gt;=0, TRUE, FALSE)</f>
        <v>1</v>
      </c>
    </row>
    <row r="1195" spans="1:11" x14ac:dyDescent="0.2">
      <c r="A1195" t="s">
        <v>1253</v>
      </c>
      <c r="B1195" t="s">
        <v>1016</v>
      </c>
      <c r="C1195" s="9">
        <v>46026</v>
      </c>
      <c r="D1195" s="9"/>
      <c r="E1195" t="s">
        <v>112</v>
      </c>
      <c r="G1195">
        <v>24</v>
      </c>
      <c r="H1195">
        <v>137.03</v>
      </c>
      <c r="I1195" t="s">
        <v>912</v>
      </c>
      <c r="K1195" t="b">
        <f>IF(Table1[[#This Row],[dispatch_date]]-Table1[[#This Row],[order_date]] &gt;=0, TRUE, FALSE)</f>
        <v>0</v>
      </c>
    </row>
    <row r="1196" spans="1:11" x14ac:dyDescent="0.2">
      <c r="A1196" t="s">
        <v>1517</v>
      </c>
      <c r="B1196" t="s">
        <v>1004</v>
      </c>
      <c r="C1196" s="9">
        <v>46026</v>
      </c>
      <c r="D1196" s="9">
        <v>46028</v>
      </c>
      <c r="E1196" t="s">
        <v>129</v>
      </c>
      <c r="F1196" t="s">
        <v>725</v>
      </c>
      <c r="G1196">
        <v>6</v>
      </c>
      <c r="H1196">
        <v>28.5</v>
      </c>
      <c r="I1196" t="s">
        <v>927</v>
      </c>
      <c r="K1196" t="b">
        <f>IF(Table1[[#This Row],[dispatch_date]]-Table1[[#This Row],[order_date]] &gt;=0, TRUE, FALSE)</f>
        <v>1</v>
      </c>
    </row>
    <row r="1197" spans="1:11" x14ac:dyDescent="0.2">
      <c r="A1197" t="s">
        <v>1650</v>
      </c>
      <c r="B1197" t="s">
        <v>993</v>
      </c>
      <c r="C1197" s="9">
        <v>46026</v>
      </c>
      <c r="D1197" s="9">
        <v>46029</v>
      </c>
      <c r="E1197" t="s">
        <v>40</v>
      </c>
      <c r="F1197" t="s">
        <v>701</v>
      </c>
      <c r="G1197">
        <v>72</v>
      </c>
      <c r="H1197">
        <v>266.08</v>
      </c>
      <c r="I1197" t="s">
        <v>938</v>
      </c>
      <c r="K1197" t="b">
        <f>IF(Table1[[#This Row],[dispatch_date]]-Table1[[#This Row],[order_date]] &gt;=0, TRUE, FALSE)</f>
        <v>1</v>
      </c>
    </row>
    <row r="1198" spans="1:11" x14ac:dyDescent="0.2">
      <c r="A1198" t="s">
        <v>2725</v>
      </c>
      <c r="B1198" t="s">
        <v>985</v>
      </c>
      <c r="C1198" s="9">
        <v>46026</v>
      </c>
      <c r="D1198" s="9">
        <v>46029</v>
      </c>
      <c r="E1198" t="s">
        <v>90</v>
      </c>
      <c r="F1198" t="s">
        <v>759</v>
      </c>
      <c r="G1198">
        <v>72</v>
      </c>
      <c r="H1198">
        <v>604.79999999999995</v>
      </c>
      <c r="I1198" t="s">
        <v>1079</v>
      </c>
      <c r="K1198" t="b">
        <f>IF(Table1[[#This Row],[dispatch_date]]-Table1[[#This Row],[order_date]] &gt;=0, TRUE, FALSE)</f>
        <v>1</v>
      </c>
    </row>
    <row r="1199" spans="1:11" x14ac:dyDescent="0.2">
      <c r="A1199" t="s">
        <v>1720</v>
      </c>
      <c r="B1199" t="s">
        <v>1045</v>
      </c>
      <c r="C1199" s="9">
        <v>46027</v>
      </c>
      <c r="D1199" s="9">
        <v>46028</v>
      </c>
      <c r="E1199" t="s">
        <v>80</v>
      </c>
      <c r="F1199" t="s">
        <v>352</v>
      </c>
      <c r="G1199">
        <v>24</v>
      </c>
      <c r="H1199">
        <v>142.80000000000001</v>
      </c>
      <c r="I1199" t="s">
        <v>912</v>
      </c>
      <c r="K1199" t="b">
        <f>IF(Table1[[#This Row],[dispatch_date]]-Table1[[#This Row],[order_date]] &gt;=0, TRUE, FALSE)</f>
        <v>1</v>
      </c>
    </row>
    <row r="1200" spans="1:11" x14ac:dyDescent="0.2">
      <c r="A1200" t="s">
        <v>2436</v>
      </c>
      <c r="B1200" t="s">
        <v>989</v>
      </c>
      <c r="C1200" s="9">
        <v>46027</v>
      </c>
      <c r="D1200" s="9">
        <v>46030</v>
      </c>
      <c r="E1200" t="s">
        <v>121</v>
      </c>
      <c r="F1200" t="s">
        <v>334</v>
      </c>
      <c r="G1200">
        <v>12</v>
      </c>
      <c r="H1200">
        <v>154.08000000000001</v>
      </c>
      <c r="I1200" t="s">
        <v>916</v>
      </c>
      <c r="K1200" t="b">
        <f>IF(Table1[[#This Row],[dispatch_date]]-Table1[[#This Row],[order_date]] &gt;=0, TRUE, FALSE)</f>
        <v>1</v>
      </c>
    </row>
    <row r="1201" spans="1:11" x14ac:dyDescent="0.2">
      <c r="A1201" t="s">
        <v>1435</v>
      </c>
      <c r="B1201" t="s">
        <v>952</v>
      </c>
      <c r="C1201" s="9">
        <v>46028</v>
      </c>
      <c r="D1201" s="9">
        <v>46030</v>
      </c>
      <c r="E1201" t="s">
        <v>17</v>
      </c>
      <c r="F1201" t="s">
        <v>691</v>
      </c>
      <c r="G1201">
        <v>24</v>
      </c>
      <c r="H1201">
        <v>136.57</v>
      </c>
      <c r="I1201" t="s">
        <v>956</v>
      </c>
      <c r="K1201" t="b">
        <f>IF(Table1[[#This Row],[dispatch_date]]-Table1[[#This Row],[order_date]] &gt;=0, TRUE, FALSE)</f>
        <v>1</v>
      </c>
    </row>
    <row r="1202" spans="1:11" x14ac:dyDescent="0.2">
      <c r="A1202" t="s">
        <v>1950</v>
      </c>
      <c r="B1202" t="s">
        <v>971</v>
      </c>
      <c r="C1202" s="9">
        <v>46028</v>
      </c>
      <c r="D1202" s="9">
        <v>46031</v>
      </c>
      <c r="E1202" t="s">
        <v>86</v>
      </c>
      <c r="F1202" t="s">
        <v>666</v>
      </c>
      <c r="G1202">
        <v>12</v>
      </c>
      <c r="H1202">
        <v>36.369999999999997</v>
      </c>
      <c r="I1202" t="s">
        <v>956</v>
      </c>
      <c r="K1202" t="b">
        <f>IF(Table1[[#This Row],[dispatch_date]]-Table1[[#This Row],[order_date]] &gt;=0, TRUE, FALSE)</f>
        <v>1</v>
      </c>
    </row>
    <row r="1203" spans="1:11" x14ac:dyDescent="0.2">
      <c r="A1203" t="s">
        <v>1983</v>
      </c>
      <c r="B1203" t="s">
        <v>958</v>
      </c>
      <c r="C1203" s="9">
        <v>46028</v>
      </c>
      <c r="D1203" s="9">
        <v>46031</v>
      </c>
      <c r="E1203" t="s">
        <v>82</v>
      </c>
      <c r="F1203" t="s">
        <v>818</v>
      </c>
      <c r="G1203">
        <v>12</v>
      </c>
      <c r="H1203">
        <v>23.64</v>
      </c>
      <c r="I1203" t="s">
        <v>956</v>
      </c>
      <c r="K1203" t="b">
        <f>IF(Table1[[#This Row],[dispatch_date]]-Table1[[#This Row],[order_date]] &gt;=0, TRUE, FALSE)</f>
        <v>1</v>
      </c>
    </row>
    <row r="1204" spans="1:11" x14ac:dyDescent="0.2">
      <c r="A1204" t="s">
        <v>2114</v>
      </c>
      <c r="B1204" t="s">
        <v>958</v>
      </c>
      <c r="C1204" s="9">
        <v>46028</v>
      </c>
      <c r="D1204" s="9">
        <v>46030</v>
      </c>
      <c r="E1204" t="s">
        <v>78</v>
      </c>
      <c r="F1204" t="s">
        <v>273</v>
      </c>
      <c r="G1204">
        <v>24</v>
      </c>
      <c r="H1204">
        <v>76.8</v>
      </c>
      <c r="I1204" t="s">
        <v>956</v>
      </c>
      <c r="K1204" t="b">
        <f>IF(Table1[[#This Row],[dispatch_date]]-Table1[[#This Row],[order_date]] &gt;=0, TRUE, FALSE)</f>
        <v>1</v>
      </c>
    </row>
    <row r="1205" spans="1:11" x14ac:dyDescent="0.2">
      <c r="A1205" t="s">
        <v>2214</v>
      </c>
      <c r="B1205" t="s">
        <v>1074</v>
      </c>
      <c r="C1205" s="9">
        <v>46028</v>
      </c>
      <c r="D1205" s="9"/>
      <c r="E1205" t="s">
        <v>84</v>
      </c>
      <c r="F1205" t="s">
        <v>303</v>
      </c>
      <c r="G1205">
        <v>24</v>
      </c>
      <c r="H1205">
        <v>50.84</v>
      </c>
      <c r="I1205" t="s">
        <v>916</v>
      </c>
      <c r="K1205" t="b">
        <f>IF(Table1[[#This Row],[dispatch_date]]-Table1[[#This Row],[order_date]] &gt;=0, TRUE, FALSE)</f>
        <v>0</v>
      </c>
    </row>
    <row r="1206" spans="1:11" x14ac:dyDescent="0.2">
      <c r="A1206" t="s">
        <v>2223</v>
      </c>
      <c r="B1206" t="s">
        <v>1016</v>
      </c>
      <c r="C1206" s="9">
        <v>46029</v>
      </c>
      <c r="D1206" s="9">
        <v>46032</v>
      </c>
      <c r="E1206" t="s">
        <v>30</v>
      </c>
      <c r="F1206" t="s">
        <v>613</v>
      </c>
      <c r="G1206">
        <v>72</v>
      </c>
      <c r="H1206">
        <v>172.8</v>
      </c>
      <c r="I1206" t="s">
        <v>912</v>
      </c>
      <c r="K1206" t="b">
        <f>IF(Table1[[#This Row],[dispatch_date]]-Table1[[#This Row],[order_date]] &gt;=0, TRUE, FALSE)</f>
        <v>1</v>
      </c>
    </row>
    <row r="1207" spans="1:11" x14ac:dyDescent="0.2">
      <c r="A1207" t="s">
        <v>2352</v>
      </c>
      <c r="B1207" t="s">
        <v>1018</v>
      </c>
      <c r="C1207" s="9">
        <v>46029</v>
      </c>
      <c r="D1207" s="9">
        <v>46029</v>
      </c>
      <c r="E1207" t="s">
        <v>69</v>
      </c>
      <c r="F1207" t="s">
        <v>576</v>
      </c>
      <c r="G1207">
        <v>6</v>
      </c>
      <c r="H1207">
        <v>30.44</v>
      </c>
      <c r="I1207" t="s">
        <v>916</v>
      </c>
      <c r="K1207" t="b">
        <f>IF(Table1[[#This Row],[dispatch_date]]-Table1[[#This Row],[order_date]] &gt;=0, TRUE, FALSE)</f>
        <v>1</v>
      </c>
    </row>
    <row r="1208" spans="1:11" x14ac:dyDescent="0.2">
      <c r="A1208" t="s">
        <v>1727</v>
      </c>
      <c r="B1208" t="s">
        <v>993</v>
      </c>
      <c r="C1208" s="9">
        <v>46030</v>
      </c>
      <c r="D1208" s="9">
        <v>46031</v>
      </c>
      <c r="E1208" t="s">
        <v>80</v>
      </c>
      <c r="F1208" t="s">
        <v>352</v>
      </c>
      <c r="G1208">
        <v>36</v>
      </c>
      <c r="H1208">
        <v>214.2</v>
      </c>
      <c r="I1208" t="s">
        <v>912</v>
      </c>
      <c r="K1208" t="b">
        <f>IF(Table1[[#This Row],[dispatch_date]]-Table1[[#This Row],[order_date]] &gt;=0, TRUE, FALSE)</f>
        <v>1</v>
      </c>
    </row>
    <row r="1209" spans="1:11" x14ac:dyDescent="0.2">
      <c r="A1209" t="s">
        <v>1578</v>
      </c>
      <c r="B1209" t="s">
        <v>936</v>
      </c>
      <c r="C1209" s="9">
        <v>46032</v>
      </c>
      <c r="D1209" s="9">
        <v>46035</v>
      </c>
      <c r="E1209" t="s">
        <v>95</v>
      </c>
      <c r="F1209" t="s">
        <v>294</v>
      </c>
      <c r="G1209">
        <v>48</v>
      </c>
      <c r="H1209">
        <v>179.66</v>
      </c>
      <c r="I1209" t="s">
        <v>938</v>
      </c>
      <c r="K1209" t="b">
        <f>IF(Table1[[#This Row],[dispatch_date]]-Table1[[#This Row],[order_date]] &gt;=0, TRUE, FALSE)</f>
        <v>1</v>
      </c>
    </row>
    <row r="1210" spans="1:11" x14ac:dyDescent="0.2">
      <c r="A1210" t="s">
        <v>1814</v>
      </c>
      <c r="B1210" t="s">
        <v>1056</v>
      </c>
      <c r="C1210" s="9">
        <v>46032</v>
      </c>
      <c r="D1210" s="9">
        <v>46034</v>
      </c>
      <c r="E1210" t="s">
        <v>105</v>
      </c>
      <c r="F1210" t="s">
        <v>212</v>
      </c>
      <c r="G1210">
        <v>24</v>
      </c>
      <c r="H1210">
        <v>142.80000000000001</v>
      </c>
      <c r="I1210" t="s">
        <v>912</v>
      </c>
      <c r="K1210" t="b">
        <f>IF(Table1[[#This Row],[dispatch_date]]-Table1[[#This Row],[order_date]] &gt;=0, TRUE, FALSE)</f>
        <v>1</v>
      </c>
    </row>
    <row r="1211" spans="1:11" x14ac:dyDescent="0.2">
      <c r="A1211" t="s">
        <v>1157</v>
      </c>
      <c r="B1211" t="s">
        <v>1001</v>
      </c>
      <c r="C1211" s="9">
        <v>46033</v>
      </c>
      <c r="D1211" s="9">
        <v>46035</v>
      </c>
      <c r="E1211" t="s">
        <v>123</v>
      </c>
      <c r="F1211" t="s">
        <v>627</v>
      </c>
      <c r="G1211">
        <v>12</v>
      </c>
      <c r="H1211">
        <v>79.69</v>
      </c>
      <c r="I1211" t="s">
        <v>916</v>
      </c>
      <c r="K1211" t="b">
        <f>IF(Table1[[#This Row],[dispatch_date]]-Table1[[#This Row],[order_date]] &gt;=0, TRUE, FALSE)</f>
        <v>1</v>
      </c>
    </row>
    <row r="1212" spans="1:11" x14ac:dyDescent="0.2">
      <c r="A1212" t="s">
        <v>1170</v>
      </c>
      <c r="B1212" t="s">
        <v>1029</v>
      </c>
      <c r="C1212" s="9">
        <v>46034</v>
      </c>
      <c r="D1212" s="9">
        <v>46034</v>
      </c>
      <c r="E1212" t="s">
        <v>33</v>
      </c>
      <c r="G1212">
        <v>72</v>
      </c>
      <c r="H1212">
        <v>159.12</v>
      </c>
      <c r="I1212" t="s">
        <v>938</v>
      </c>
      <c r="K1212" t="b">
        <f>IF(Table1[[#This Row],[dispatch_date]]-Table1[[#This Row],[order_date]] &gt;=0, TRUE, FALSE)</f>
        <v>1</v>
      </c>
    </row>
    <row r="1213" spans="1:11" x14ac:dyDescent="0.2">
      <c r="A1213" t="s">
        <v>2641</v>
      </c>
      <c r="B1213" t="s">
        <v>1049</v>
      </c>
      <c r="C1213" s="9">
        <v>46035</v>
      </c>
      <c r="D1213" s="9">
        <v>46038</v>
      </c>
      <c r="E1213" t="s">
        <v>118</v>
      </c>
      <c r="F1213" t="s">
        <v>396</v>
      </c>
      <c r="G1213">
        <v>24</v>
      </c>
      <c r="H1213">
        <v>315.36</v>
      </c>
      <c r="I1213" t="s">
        <v>938</v>
      </c>
      <c r="K1213" t="b">
        <f>IF(Table1[[#This Row],[dispatch_date]]-Table1[[#This Row],[order_date]] &gt;=0, TRUE, FALSE)</f>
        <v>1</v>
      </c>
    </row>
    <row r="1214" spans="1:11" x14ac:dyDescent="0.2">
      <c r="A1214" t="s">
        <v>1251</v>
      </c>
      <c r="B1214" t="s">
        <v>1034</v>
      </c>
      <c r="C1214" s="9">
        <v>46036</v>
      </c>
      <c r="D1214" s="9">
        <v>46037</v>
      </c>
      <c r="E1214" t="s">
        <v>114</v>
      </c>
      <c r="G1214">
        <v>36</v>
      </c>
      <c r="H1214">
        <v>169.29</v>
      </c>
      <c r="I1214" t="s">
        <v>938</v>
      </c>
      <c r="K1214" t="b">
        <f>IF(Table1[[#This Row],[dispatch_date]]-Table1[[#This Row],[order_date]] &gt;=0, TRUE, FALSE)</f>
        <v>1</v>
      </c>
    </row>
    <row r="1215" spans="1:11" x14ac:dyDescent="0.2">
      <c r="A1215" t="s">
        <v>1462</v>
      </c>
      <c r="B1215" t="s">
        <v>1064</v>
      </c>
      <c r="C1215" s="9">
        <v>46036</v>
      </c>
      <c r="D1215" s="9">
        <v>46038</v>
      </c>
      <c r="E1215" t="s">
        <v>82</v>
      </c>
      <c r="F1215" t="s">
        <v>410</v>
      </c>
      <c r="G1215">
        <v>48</v>
      </c>
      <c r="H1215">
        <v>94.56</v>
      </c>
      <c r="I1215" t="s">
        <v>1079</v>
      </c>
      <c r="K1215" t="b">
        <f>IF(Table1[[#This Row],[dispatch_date]]-Table1[[#This Row],[order_date]] &gt;=0, TRUE, FALSE)</f>
        <v>1</v>
      </c>
    </row>
    <row r="1216" spans="1:11" x14ac:dyDescent="0.2">
      <c r="A1216" t="s">
        <v>2665</v>
      </c>
      <c r="B1216" t="s">
        <v>1040</v>
      </c>
      <c r="C1216" s="9">
        <v>46036</v>
      </c>
      <c r="D1216" s="9">
        <v>46036</v>
      </c>
      <c r="E1216" t="s">
        <v>67</v>
      </c>
      <c r="G1216">
        <v>36</v>
      </c>
      <c r="H1216">
        <v>181.26</v>
      </c>
      <c r="I1216" t="s">
        <v>916</v>
      </c>
      <c r="K1216" t="b">
        <f>IF(Table1[[#This Row],[dispatch_date]]-Table1[[#This Row],[order_date]] &gt;=0, TRUE, FALSE)</f>
        <v>1</v>
      </c>
    </row>
    <row r="1217" spans="1:11" x14ac:dyDescent="0.2">
      <c r="A1217" t="s">
        <v>2809</v>
      </c>
      <c r="B1217" t="s">
        <v>981</v>
      </c>
      <c r="C1217" s="9">
        <v>46036</v>
      </c>
      <c r="D1217" s="9">
        <v>46037</v>
      </c>
      <c r="E1217" t="s">
        <v>19</v>
      </c>
      <c r="F1217" t="s">
        <v>488</v>
      </c>
      <c r="G1217">
        <v>6</v>
      </c>
      <c r="H1217">
        <v>12.18</v>
      </c>
      <c r="I1217" t="s">
        <v>916</v>
      </c>
      <c r="K1217" t="b">
        <f>IF(Table1[[#This Row],[dispatch_date]]-Table1[[#This Row],[order_date]] &gt;=0, TRUE, FALSE)</f>
        <v>1</v>
      </c>
    </row>
    <row r="1218" spans="1:11" x14ac:dyDescent="0.2">
      <c r="A1218" t="s">
        <v>1440</v>
      </c>
      <c r="B1218" t="s">
        <v>1006</v>
      </c>
      <c r="C1218" s="9">
        <v>46037</v>
      </c>
      <c r="D1218" s="9">
        <v>46040</v>
      </c>
      <c r="E1218" t="s">
        <v>78</v>
      </c>
      <c r="F1218" t="s">
        <v>273</v>
      </c>
      <c r="G1218">
        <v>6</v>
      </c>
      <c r="H1218">
        <v>19.2</v>
      </c>
      <c r="I1218" t="s">
        <v>912</v>
      </c>
      <c r="K1218" t="b">
        <f>IF(Table1[[#This Row],[dispatch_date]]-Table1[[#This Row],[order_date]] &gt;=0, TRUE, FALSE)</f>
        <v>1</v>
      </c>
    </row>
    <row r="1219" spans="1:11" x14ac:dyDescent="0.2">
      <c r="A1219" t="s">
        <v>2075</v>
      </c>
      <c r="B1219" t="s">
        <v>962</v>
      </c>
      <c r="C1219" s="9">
        <v>46037</v>
      </c>
      <c r="D1219" s="9">
        <v>46040</v>
      </c>
      <c r="E1219" t="s">
        <v>17</v>
      </c>
      <c r="F1219" t="s">
        <v>307</v>
      </c>
      <c r="G1219">
        <v>12</v>
      </c>
      <c r="H1219">
        <v>71.88</v>
      </c>
      <c r="I1219" t="s">
        <v>956</v>
      </c>
      <c r="K1219" t="b">
        <f>IF(Table1[[#This Row],[dispatch_date]]-Table1[[#This Row],[order_date]] &gt;=0, TRUE, FALSE)</f>
        <v>1</v>
      </c>
    </row>
    <row r="1220" spans="1:11" x14ac:dyDescent="0.2">
      <c r="A1220" t="s">
        <v>2079</v>
      </c>
      <c r="B1220" t="s">
        <v>1018</v>
      </c>
      <c r="C1220" s="9">
        <v>46037</v>
      </c>
      <c r="D1220" s="9">
        <v>46037</v>
      </c>
      <c r="E1220" t="s">
        <v>105</v>
      </c>
      <c r="F1220" t="s">
        <v>423</v>
      </c>
      <c r="G1220">
        <v>24</v>
      </c>
      <c r="H1220">
        <v>142.80000000000001</v>
      </c>
      <c r="I1220" t="s">
        <v>916</v>
      </c>
      <c r="K1220" t="b">
        <f>IF(Table1[[#This Row],[dispatch_date]]-Table1[[#This Row],[order_date]] &gt;=0, TRUE, FALSE)</f>
        <v>1</v>
      </c>
    </row>
    <row r="1221" spans="1:11" x14ac:dyDescent="0.2">
      <c r="A1221" t="s">
        <v>2208</v>
      </c>
      <c r="B1221" t="s">
        <v>951</v>
      </c>
      <c r="C1221" s="9">
        <v>46037</v>
      </c>
      <c r="D1221" s="9">
        <v>46040</v>
      </c>
      <c r="E1221" t="s">
        <v>90</v>
      </c>
      <c r="F1221" t="s">
        <v>553</v>
      </c>
      <c r="G1221">
        <v>36</v>
      </c>
      <c r="H1221">
        <v>287.27999999999997</v>
      </c>
      <c r="I1221" t="s">
        <v>956</v>
      </c>
      <c r="K1221" t="b">
        <f>IF(Table1[[#This Row],[dispatch_date]]-Table1[[#This Row],[order_date]] &gt;=0, TRUE, FALSE)</f>
        <v>1</v>
      </c>
    </row>
    <row r="1222" spans="1:11" x14ac:dyDescent="0.2">
      <c r="A1222" t="s">
        <v>2409</v>
      </c>
      <c r="B1222" t="s">
        <v>922</v>
      </c>
      <c r="C1222" s="9">
        <v>46037</v>
      </c>
      <c r="D1222" s="9">
        <v>46039</v>
      </c>
      <c r="E1222" t="s">
        <v>58</v>
      </c>
      <c r="F1222" t="s">
        <v>486</v>
      </c>
      <c r="G1222">
        <v>12</v>
      </c>
      <c r="H1222">
        <v>75.599999999999994</v>
      </c>
      <c r="I1222" t="s">
        <v>912</v>
      </c>
      <c r="K1222" t="b">
        <f>IF(Table1[[#This Row],[dispatch_date]]-Table1[[#This Row],[order_date]] &gt;=0, TRUE, FALSE)</f>
        <v>1</v>
      </c>
    </row>
    <row r="1223" spans="1:11" x14ac:dyDescent="0.2">
      <c r="A1223" t="s">
        <v>1255</v>
      </c>
      <c r="B1223" t="s">
        <v>952</v>
      </c>
      <c r="C1223" s="9">
        <v>46038</v>
      </c>
      <c r="D1223" s="9">
        <v>46041</v>
      </c>
      <c r="E1223" t="s">
        <v>82</v>
      </c>
      <c r="F1223" t="s">
        <v>410</v>
      </c>
      <c r="G1223">
        <v>72</v>
      </c>
      <c r="H1223">
        <v>134.75</v>
      </c>
      <c r="I1223" t="s">
        <v>938</v>
      </c>
      <c r="K1223" t="b">
        <f>IF(Table1[[#This Row],[dispatch_date]]-Table1[[#This Row],[order_date]] &gt;=0, TRUE, FALSE)</f>
        <v>1</v>
      </c>
    </row>
    <row r="1224" spans="1:11" x14ac:dyDescent="0.2">
      <c r="A1224" t="s">
        <v>1098</v>
      </c>
      <c r="B1224" t="s">
        <v>945</v>
      </c>
      <c r="C1224" s="9">
        <v>46039</v>
      </c>
      <c r="D1224" s="9">
        <v>46042</v>
      </c>
      <c r="E1224" t="s">
        <v>17</v>
      </c>
      <c r="F1224" t="s">
        <v>568</v>
      </c>
      <c r="G1224">
        <v>36</v>
      </c>
      <c r="H1224">
        <v>215.64</v>
      </c>
      <c r="I1224" t="s">
        <v>938</v>
      </c>
      <c r="K1224" t="b">
        <f>IF(Table1[[#This Row],[dispatch_date]]-Table1[[#This Row],[order_date]] &gt;=0, TRUE, FALSE)</f>
        <v>1</v>
      </c>
    </row>
    <row r="1225" spans="1:11" x14ac:dyDescent="0.2">
      <c r="A1225" t="s">
        <v>1670</v>
      </c>
      <c r="B1225" t="s">
        <v>1077</v>
      </c>
      <c r="C1225" s="9">
        <v>46039</v>
      </c>
      <c r="D1225" s="9">
        <v>46042</v>
      </c>
      <c r="E1225" t="s">
        <v>65</v>
      </c>
      <c r="F1225" t="s">
        <v>244</v>
      </c>
      <c r="G1225">
        <v>12</v>
      </c>
      <c r="H1225">
        <v>159.24</v>
      </c>
      <c r="I1225" t="s">
        <v>1079</v>
      </c>
      <c r="K1225" t="b">
        <f>IF(Table1[[#This Row],[dispatch_date]]-Table1[[#This Row],[order_date]] &gt;=0, TRUE, FALSE)</f>
        <v>1</v>
      </c>
    </row>
    <row r="1226" spans="1:11" x14ac:dyDescent="0.2">
      <c r="A1226" t="s">
        <v>2134</v>
      </c>
      <c r="B1226" t="s">
        <v>985</v>
      </c>
      <c r="C1226" s="9">
        <v>46039</v>
      </c>
      <c r="D1226" s="9">
        <v>46040</v>
      </c>
      <c r="E1226" t="s">
        <v>86</v>
      </c>
      <c r="F1226" t="s">
        <v>785</v>
      </c>
      <c r="G1226">
        <v>12</v>
      </c>
      <c r="H1226">
        <v>38.28</v>
      </c>
      <c r="I1226" t="s">
        <v>912</v>
      </c>
      <c r="K1226" t="b">
        <f>IF(Table1[[#This Row],[dispatch_date]]-Table1[[#This Row],[order_date]] &gt;=0, TRUE, FALSE)</f>
        <v>1</v>
      </c>
    </row>
    <row r="1227" spans="1:11" x14ac:dyDescent="0.2">
      <c r="A1227" t="s">
        <v>2136</v>
      </c>
      <c r="B1227" t="s">
        <v>945</v>
      </c>
      <c r="C1227" s="9">
        <v>46039</v>
      </c>
      <c r="D1227" s="9">
        <v>46040</v>
      </c>
      <c r="E1227" t="s">
        <v>74</v>
      </c>
      <c r="F1227" t="s">
        <v>537</v>
      </c>
      <c r="G1227">
        <v>36</v>
      </c>
      <c r="H1227">
        <v>73.53</v>
      </c>
      <c r="I1227" t="s">
        <v>938</v>
      </c>
      <c r="K1227" t="b">
        <f>IF(Table1[[#This Row],[dispatch_date]]-Table1[[#This Row],[order_date]] &gt;=0, TRUE, FALSE)</f>
        <v>1</v>
      </c>
    </row>
    <row r="1228" spans="1:11" x14ac:dyDescent="0.2">
      <c r="A1228" t="s">
        <v>2360</v>
      </c>
      <c r="B1228" t="s">
        <v>932</v>
      </c>
      <c r="C1228" s="9">
        <v>46039</v>
      </c>
      <c r="D1228" s="9">
        <v>46040</v>
      </c>
      <c r="E1228" t="s">
        <v>28</v>
      </c>
      <c r="G1228">
        <v>72</v>
      </c>
      <c r="H1228">
        <v>413.28</v>
      </c>
      <c r="I1228" t="s">
        <v>956</v>
      </c>
      <c r="K1228" t="b">
        <f>IF(Table1[[#This Row],[dispatch_date]]-Table1[[#This Row],[order_date]] &gt;=0, TRUE, FALSE)</f>
        <v>1</v>
      </c>
    </row>
    <row r="1229" spans="1:11" x14ac:dyDescent="0.2">
      <c r="A1229" t="s">
        <v>2673</v>
      </c>
      <c r="B1229" t="s">
        <v>1046</v>
      </c>
      <c r="C1229" s="9">
        <v>46039</v>
      </c>
      <c r="D1229" s="9">
        <v>46040</v>
      </c>
      <c r="E1229" t="s">
        <v>112</v>
      </c>
      <c r="F1229" t="s">
        <v>650</v>
      </c>
      <c r="G1229">
        <v>48</v>
      </c>
      <c r="H1229">
        <v>288.48</v>
      </c>
      <c r="I1229" t="s">
        <v>912</v>
      </c>
      <c r="K1229" t="b">
        <f>IF(Table1[[#This Row],[dispatch_date]]-Table1[[#This Row],[order_date]] &gt;=0, TRUE, FALSE)</f>
        <v>1</v>
      </c>
    </row>
    <row r="1230" spans="1:11" x14ac:dyDescent="0.2">
      <c r="A1230" t="s">
        <v>1555</v>
      </c>
      <c r="B1230" t="s">
        <v>1060</v>
      </c>
      <c r="C1230" s="9">
        <v>46040</v>
      </c>
      <c r="D1230" s="9">
        <v>46042</v>
      </c>
      <c r="E1230" t="s">
        <v>71</v>
      </c>
      <c r="F1230" t="s">
        <v>737</v>
      </c>
      <c r="G1230">
        <v>72</v>
      </c>
      <c r="H1230">
        <v>650.48</v>
      </c>
      <c r="I1230" t="s">
        <v>956</v>
      </c>
      <c r="K1230" t="b">
        <f>IF(Table1[[#This Row],[dispatch_date]]-Table1[[#This Row],[order_date]] &gt;=0, TRUE, FALSE)</f>
        <v>1</v>
      </c>
    </row>
    <row r="1231" spans="1:11" x14ac:dyDescent="0.2">
      <c r="A1231" t="s">
        <v>2514</v>
      </c>
      <c r="B1231" t="s">
        <v>952</v>
      </c>
      <c r="C1231" s="9">
        <v>46040</v>
      </c>
      <c r="D1231" s="9">
        <v>46043</v>
      </c>
      <c r="E1231" t="s">
        <v>44</v>
      </c>
      <c r="F1231" t="s">
        <v>693</v>
      </c>
      <c r="G1231">
        <v>24</v>
      </c>
      <c r="H1231">
        <v>145.19999999999999</v>
      </c>
      <c r="I1231" t="s">
        <v>912</v>
      </c>
      <c r="K1231" t="b">
        <f>IF(Table1[[#This Row],[dispatch_date]]-Table1[[#This Row],[order_date]] &gt;=0, TRUE, FALSE)</f>
        <v>1</v>
      </c>
    </row>
    <row r="1232" spans="1:11" x14ac:dyDescent="0.2">
      <c r="A1232" t="s">
        <v>2776</v>
      </c>
      <c r="B1232" t="s">
        <v>960</v>
      </c>
      <c r="C1232" s="9">
        <v>46040</v>
      </c>
      <c r="D1232" s="9">
        <v>46042</v>
      </c>
      <c r="E1232" t="s">
        <v>8</v>
      </c>
      <c r="F1232" t="s">
        <v>656</v>
      </c>
      <c r="G1232">
        <v>12</v>
      </c>
      <c r="H1232">
        <v>72.36</v>
      </c>
      <c r="I1232" t="s">
        <v>938</v>
      </c>
      <c r="K1232" t="b">
        <f>IF(Table1[[#This Row],[dispatch_date]]-Table1[[#This Row],[order_date]] &gt;=0, TRUE, FALSE)</f>
        <v>1</v>
      </c>
    </row>
    <row r="1233" spans="1:11" x14ac:dyDescent="0.2">
      <c r="A1233" t="s">
        <v>2094</v>
      </c>
      <c r="B1233" t="s">
        <v>922</v>
      </c>
      <c r="C1233" s="9">
        <v>46041</v>
      </c>
      <c r="D1233" s="9">
        <v>46042</v>
      </c>
      <c r="E1233" t="s">
        <v>78</v>
      </c>
      <c r="F1233" t="s">
        <v>273</v>
      </c>
      <c r="G1233">
        <v>6</v>
      </c>
      <c r="H1233">
        <v>18.239999999999998</v>
      </c>
      <c r="I1233" t="s">
        <v>912</v>
      </c>
      <c r="K1233" t="b">
        <f>IF(Table1[[#This Row],[dispatch_date]]-Table1[[#This Row],[order_date]] &gt;=0, TRUE, FALSE)</f>
        <v>1</v>
      </c>
    </row>
    <row r="1234" spans="1:11" x14ac:dyDescent="0.2">
      <c r="A1234" t="s">
        <v>2348</v>
      </c>
      <c r="B1234" t="s">
        <v>1009</v>
      </c>
      <c r="C1234" s="9">
        <v>46041</v>
      </c>
      <c r="D1234" s="9">
        <v>46042</v>
      </c>
      <c r="E1234" t="s">
        <v>110</v>
      </c>
      <c r="F1234" t="s">
        <v>527</v>
      </c>
      <c r="G1234">
        <v>36</v>
      </c>
      <c r="H1234">
        <v>117.72</v>
      </c>
      <c r="I1234" t="s">
        <v>912</v>
      </c>
      <c r="K1234" t="b">
        <f>IF(Table1[[#This Row],[dispatch_date]]-Table1[[#This Row],[order_date]] &gt;=0, TRUE, FALSE)</f>
        <v>1</v>
      </c>
    </row>
    <row r="1235" spans="1:11" x14ac:dyDescent="0.2">
      <c r="A1235" t="s">
        <v>1674</v>
      </c>
      <c r="B1235" t="s">
        <v>1013</v>
      </c>
      <c r="C1235" s="9">
        <v>46042</v>
      </c>
      <c r="D1235" s="9">
        <v>46042</v>
      </c>
      <c r="E1235" t="s">
        <v>50</v>
      </c>
      <c r="F1235" t="s">
        <v>389</v>
      </c>
      <c r="G1235">
        <v>48</v>
      </c>
      <c r="H1235">
        <v>292.8</v>
      </c>
      <c r="I1235" t="s">
        <v>956</v>
      </c>
      <c r="K1235" t="b">
        <f>IF(Table1[[#This Row],[dispatch_date]]-Table1[[#This Row],[order_date]] &gt;=0, TRUE, FALSE)</f>
        <v>1</v>
      </c>
    </row>
    <row r="1236" spans="1:11" x14ac:dyDescent="0.2">
      <c r="A1236" t="s">
        <v>2512</v>
      </c>
      <c r="B1236" t="s">
        <v>998</v>
      </c>
      <c r="C1236" s="9">
        <v>46042</v>
      </c>
      <c r="D1236" s="9"/>
      <c r="E1236" t="s">
        <v>127</v>
      </c>
      <c r="F1236" t="s">
        <v>483</v>
      </c>
      <c r="G1236">
        <v>36</v>
      </c>
      <c r="H1236">
        <v>147.6</v>
      </c>
      <c r="I1236" t="s">
        <v>938</v>
      </c>
      <c r="K1236" t="b">
        <f>IF(Table1[[#This Row],[dispatch_date]]-Table1[[#This Row],[order_date]] &gt;=0, TRUE, FALSE)</f>
        <v>0</v>
      </c>
    </row>
    <row r="1237" spans="1:11" x14ac:dyDescent="0.2">
      <c r="A1237" t="s">
        <v>2019</v>
      </c>
      <c r="B1237" t="s">
        <v>991</v>
      </c>
      <c r="C1237" s="9">
        <v>46043</v>
      </c>
      <c r="D1237" s="9">
        <v>46044</v>
      </c>
      <c r="E1237" t="s">
        <v>125</v>
      </c>
      <c r="G1237">
        <v>72</v>
      </c>
      <c r="H1237">
        <v>549.36</v>
      </c>
      <c r="I1237" t="s">
        <v>956</v>
      </c>
      <c r="K1237" t="b">
        <f>IF(Table1[[#This Row],[dispatch_date]]-Table1[[#This Row],[order_date]] &gt;=0, TRUE, FALSE)</f>
        <v>1</v>
      </c>
    </row>
    <row r="1238" spans="1:11" x14ac:dyDescent="0.2">
      <c r="A1238" t="s">
        <v>1106</v>
      </c>
      <c r="B1238" t="s">
        <v>1077</v>
      </c>
      <c r="C1238" s="9">
        <v>46044</v>
      </c>
      <c r="D1238" s="9">
        <v>46046</v>
      </c>
      <c r="E1238" t="s">
        <v>30</v>
      </c>
      <c r="G1238">
        <v>48</v>
      </c>
      <c r="H1238">
        <v>115.2</v>
      </c>
      <c r="I1238" t="s">
        <v>1079</v>
      </c>
      <c r="K1238" t="b">
        <f>IF(Table1[[#This Row],[dispatch_date]]-Table1[[#This Row],[order_date]] &gt;=0, TRUE, FALSE)</f>
        <v>1</v>
      </c>
    </row>
    <row r="1239" spans="1:11" x14ac:dyDescent="0.2">
      <c r="A1239" t="s">
        <v>2481</v>
      </c>
      <c r="B1239" t="s">
        <v>1016</v>
      </c>
      <c r="C1239" s="9">
        <v>46044</v>
      </c>
      <c r="D1239" s="9">
        <v>46047</v>
      </c>
      <c r="E1239" t="s">
        <v>63</v>
      </c>
      <c r="F1239" t="s">
        <v>297</v>
      </c>
      <c r="G1239">
        <v>24</v>
      </c>
      <c r="H1239">
        <v>235.2</v>
      </c>
      <c r="I1239" t="s">
        <v>912</v>
      </c>
      <c r="K1239" t="b">
        <f>IF(Table1[[#This Row],[dispatch_date]]-Table1[[#This Row],[order_date]] &gt;=0, TRUE, FALSE)</f>
        <v>1</v>
      </c>
    </row>
    <row r="1240" spans="1:11" x14ac:dyDescent="0.2">
      <c r="A1240" t="s">
        <v>1464</v>
      </c>
      <c r="B1240" t="s">
        <v>1049</v>
      </c>
      <c r="C1240" s="9">
        <v>46045</v>
      </c>
      <c r="D1240" s="9">
        <v>46046</v>
      </c>
      <c r="E1240" t="s">
        <v>116</v>
      </c>
      <c r="F1240" t="s">
        <v>535</v>
      </c>
      <c r="G1240">
        <v>48</v>
      </c>
      <c r="H1240">
        <v>232.32</v>
      </c>
      <c r="I1240" t="s">
        <v>938</v>
      </c>
      <c r="K1240" t="b">
        <f>IF(Table1[[#This Row],[dispatch_date]]-Table1[[#This Row],[order_date]] &gt;=0, TRUE, FALSE)</f>
        <v>1</v>
      </c>
    </row>
    <row r="1241" spans="1:11" x14ac:dyDescent="0.2">
      <c r="A1241" t="s">
        <v>1227</v>
      </c>
      <c r="B1241" t="s">
        <v>1046</v>
      </c>
      <c r="C1241" s="9">
        <v>46046</v>
      </c>
      <c r="D1241" s="9">
        <v>46047</v>
      </c>
      <c r="E1241" t="s">
        <v>125</v>
      </c>
      <c r="F1241" t="s">
        <v>736</v>
      </c>
      <c r="G1241">
        <v>12</v>
      </c>
      <c r="H1241">
        <v>86.98</v>
      </c>
      <c r="I1241" t="s">
        <v>912</v>
      </c>
      <c r="K1241" t="b">
        <f>IF(Table1[[#This Row],[dispatch_date]]-Table1[[#This Row],[order_date]] &gt;=0, TRUE, FALSE)</f>
        <v>1</v>
      </c>
    </row>
    <row r="1242" spans="1:11" x14ac:dyDescent="0.2">
      <c r="A1242" t="s">
        <v>2165</v>
      </c>
      <c r="B1242" t="s">
        <v>996</v>
      </c>
      <c r="C1242" s="9">
        <v>46046</v>
      </c>
      <c r="D1242" s="9">
        <v>46048</v>
      </c>
      <c r="E1242" t="s">
        <v>22</v>
      </c>
      <c r="F1242" t="s">
        <v>753</v>
      </c>
      <c r="G1242">
        <v>12</v>
      </c>
      <c r="H1242">
        <v>59.64</v>
      </c>
      <c r="I1242" t="s">
        <v>927</v>
      </c>
      <c r="K1242" t="b">
        <f>IF(Table1[[#This Row],[dispatch_date]]-Table1[[#This Row],[order_date]] &gt;=0, TRUE, FALSE)</f>
        <v>1</v>
      </c>
    </row>
    <row r="1243" spans="1:11" x14ac:dyDescent="0.2">
      <c r="A1243" t="s">
        <v>2376</v>
      </c>
      <c r="B1243" t="s">
        <v>1074</v>
      </c>
      <c r="C1243" s="9">
        <v>46047</v>
      </c>
      <c r="D1243" s="9">
        <v>46050</v>
      </c>
      <c r="E1243" t="s">
        <v>71</v>
      </c>
      <c r="F1243" t="s">
        <v>782</v>
      </c>
      <c r="G1243">
        <v>24</v>
      </c>
      <c r="H1243">
        <v>228.24</v>
      </c>
      <c r="I1243" t="s">
        <v>1079</v>
      </c>
      <c r="K1243" t="b">
        <f>IF(Table1[[#This Row],[dispatch_date]]-Table1[[#This Row],[order_date]] &gt;=0, TRUE, FALSE)</f>
        <v>1</v>
      </c>
    </row>
    <row r="1244" spans="1:11" x14ac:dyDescent="0.2">
      <c r="A1244" t="s">
        <v>2672</v>
      </c>
      <c r="B1244" t="s">
        <v>981</v>
      </c>
      <c r="C1244" s="9">
        <v>46047</v>
      </c>
      <c r="D1244" s="9">
        <v>46049</v>
      </c>
      <c r="E1244" t="s">
        <v>129</v>
      </c>
      <c r="F1244" t="s">
        <v>469</v>
      </c>
      <c r="G1244">
        <v>24</v>
      </c>
      <c r="H1244">
        <v>114</v>
      </c>
      <c r="I1244" t="s">
        <v>916</v>
      </c>
      <c r="K1244" t="b">
        <f>IF(Table1[[#This Row],[dispatch_date]]-Table1[[#This Row],[order_date]] &gt;=0, TRUE, FALSE)</f>
        <v>1</v>
      </c>
    </row>
    <row r="1245" spans="1:11" x14ac:dyDescent="0.2">
      <c r="A1245" t="s">
        <v>2707</v>
      </c>
      <c r="B1245" t="s">
        <v>1009</v>
      </c>
      <c r="C1245" s="9">
        <v>46047</v>
      </c>
      <c r="D1245" s="9">
        <v>46049</v>
      </c>
      <c r="E1245" t="s">
        <v>110</v>
      </c>
      <c r="G1245">
        <v>24</v>
      </c>
      <c r="H1245">
        <v>78.48</v>
      </c>
      <c r="I1245" t="s">
        <v>912</v>
      </c>
      <c r="K1245" t="b">
        <f>IF(Table1[[#This Row],[dispatch_date]]-Table1[[#This Row],[order_date]] &gt;=0, TRUE, FALSE)</f>
        <v>1</v>
      </c>
    </row>
    <row r="1246" spans="1:11" x14ac:dyDescent="0.2">
      <c r="A1246" t="s">
        <v>1660</v>
      </c>
      <c r="B1246" t="s">
        <v>942</v>
      </c>
      <c r="C1246" s="9">
        <v>46048</v>
      </c>
      <c r="D1246" s="9">
        <v>46049</v>
      </c>
      <c r="E1246" t="s">
        <v>28</v>
      </c>
      <c r="F1246" t="s">
        <v>788</v>
      </c>
      <c r="G1246">
        <v>72</v>
      </c>
      <c r="H1246">
        <v>413.28</v>
      </c>
      <c r="I1246" t="s">
        <v>916</v>
      </c>
      <c r="K1246" t="b">
        <f>IF(Table1[[#This Row],[dispatch_date]]-Table1[[#This Row],[order_date]] &gt;=0, TRUE, FALSE)</f>
        <v>1</v>
      </c>
    </row>
    <row r="1247" spans="1:11" x14ac:dyDescent="0.2">
      <c r="A1247" t="s">
        <v>1851</v>
      </c>
      <c r="B1247" t="s">
        <v>945</v>
      </c>
      <c r="C1247" s="9">
        <v>46048</v>
      </c>
      <c r="D1247" s="9">
        <v>46048</v>
      </c>
      <c r="E1247" t="s">
        <v>103</v>
      </c>
      <c r="F1247" t="s">
        <v>776</v>
      </c>
      <c r="G1247">
        <v>6</v>
      </c>
      <c r="H1247">
        <v>43.26</v>
      </c>
      <c r="I1247" t="s">
        <v>1079</v>
      </c>
      <c r="K1247" t="b">
        <f>IF(Table1[[#This Row],[dispatch_date]]-Table1[[#This Row],[order_date]] &gt;=0, TRUE, FALSE)</f>
        <v>1</v>
      </c>
    </row>
    <row r="1248" spans="1:11" x14ac:dyDescent="0.2">
      <c r="A1248" t="s">
        <v>2071</v>
      </c>
      <c r="B1248" t="s">
        <v>922</v>
      </c>
      <c r="C1248" s="9">
        <v>46048</v>
      </c>
      <c r="D1248" s="9">
        <v>46049</v>
      </c>
      <c r="E1248" t="s">
        <v>25</v>
      </c>
      <c r="F1248" t="s">
        <v>188</v>
      </c>
      <c r="G1248">
        <v>72</v>
      </c>
      <c r="H1248">
        <v>399.6</v>
      </c>
      <c r="I1248" t="s">
        <v>912</v>
      </c>
      <c r="K1248" t="b">
        <f>IF(Table1[[#This Row],[dispatch_date]]-Table1[[#This Row],[order_date]] &gt;=0, TRUE, FALSE)</f>
        <v>1</v>
      </c>
    </row>
    <row r="1249" spans="1:11" x14ac:dyDescent="0.2">
      <c r="A1249" t="s">
        <v>2290</v>
      </c>
      <c r="B1249" t="s">
        <v>932</v>
      </c>
      <c r="C1249" s="9">
        <v>46048</v>
      </c>
      <c r="D1249" s="9">
        <v>46049</v>
      </c>
      <c r="E1249" t="s">
        <v>8</v>
      </c>
      <c r="F1249" t="s">
        <v>599</v>
      </c>
      <c r="G1249">
        <v>24</v>
      </c>
      <c r="H1249">
        <v>144.72</v>
      </c>
      <c r="I1249" t="s">
        <v>956</v>
      </c>
      <c r="K1249" t="b">
        <f>IF(Table1[[#This Row],[dispatch_date]]-Table1[[#This Row],[order_date]] &gt;=0, TRUE, FALSE)</f>
        <v>1</v>
      </c>
    </row>
    <row r="1250" spans="1:11" x14ac:dyDescent="0.2">
      <c r="A1250" t="s">
        <v>1129</v>
      </c>
      <c r="B1250" t="s">
        <v>1072</v>
      </c>
      <c r="C1250" s="9">
        <v>46049</v>
      </c>
      <c r="D1250" s="9">
        <v>46049</v>
      </c>
      <c r="E1250" t="s">
        <v>19</v>
      </c>
      <c r="F1250" t="s">
        <v>417</v>
      </c>
      <c r="G1250">
        <v>6</v>
      </c>
      <c r="H1250">
        <v>12.18</v>
      </c>
      <c r="I1250" t="s">
        <v>956</v>
      </c>
      <c r="K1250" t="b">
        <f>IF(Table1[[#This Row],[dispatch_date]]-Table1[[#This Row],[order_date]] &gt;=0, TRUE, FALSE)</f>
        <v>1</v>
      </c>
    </row>
    <row r="1251" spans="1:11" x14ac:dyDescent="0.2">
      <c r="A1251" t="s">
        <v>1604</v>
      </c>
      <c r="B1251" t="s">
        <v>922</v>
      </c>
      <c r="C1251" s="9">
        <v>46049</v>
      </c>
      <c r="D1251" s="9">
        <v>46052</v>
      </c>
      <c r="E1251" t="s">
        <v>121</v>
      </c>
      <c r="F1251" t="s">
        <v>593</v>
      </c>
      <c r="G1251">
        <v>48</v>
      </c>
      <c r="H1251">
        <v>585.5</v>
      </c>
      <c r="I1251" t="s">
        <v>912</v>
      </c>
      <c r="K1251" t="b">
        <f>IF(Table1[[#This Row],[dispatch_date]]-Table1[[#This Row],[order_date]] &gt;=0, TRUE, FALSE)</f>
        <v>1</v>
      </c>
    </row>
    <row r="1252" spans="1:11" x14ac:dyDescent="0.2">
      <c r="A1252" t="s">
        <v>1612</v>
      </c>
      <c r="B1252" t="s">
        <v>979</v>
      </c>
      <c r="C1252" s="9">
        <v>46049</v>
      </c>
      <c r="D1252" s="9">
        <v>46049</v>
      </c>
      <c r="E1252" t="s">
        <v>48</v>
      </c>
      <c r="F1252" t="s">
        <v>545</v>
      </c>
      <c r="G1252">
        <v>24</v>
      </c>
      <c r="H1252">
        <v>161.76</v>
      </c>
      <c r="I1252" t="s">
        <v>956</v>
      </c>
      <c r="K1252" t="b">
        <f>IF(Table1[[#This Row],[dispatch_date]]-Table1[[#This Row],[order_date]] &gt;=0, TRUE, FALSE)</f>
        <v>1</v>
      </c>
    </row>
    <row r="1253" spans="1:11" x14ac:dyDescent="0.2">
      <c r="A1253" t="s">
        <v>1972</v>
      </c>
      <c r="B1253" t="s">
        <v>1016</v>
      </c>
      <c r="C1253" s="9">
        <v>46049</v>
      </c>
      <c r="D1253" s="9">
        <v>46050</v>
      </c>
      <c r="E1253" t="s">
        <v>38</v>
      </c>
      <c r="F1253" t="s">
        <v>889</v>
      </c>
      <c r="G1253">
        <v>72</v>
      </c>
      <c r="H1253">
        <v>348.84</v>
      </c>
      <c r="I1253" t="s">
        <v>912</v>
      </c>
      <c r="K1253" t="b">
        <f>IF(Table1[[#This Row],[dispatch_date]]-Table1[[#This Row],[order_date]] &gt;=0, TRUE, FALSE)</f>
        <v>1</v>
      </c>
    </row>
    <row r="1254" spans="1:11" x14ac:dyDescent="0.2">
      <c r="A1254" t="s">
        <v>1937</v>
      </c>
      <c r="B1254" t="s">
        <v>906</v>
      </c>
      <c r="C1254" s="9">
        <v>46050</v>
      </c>
      <c r="D1254" s="9">
        <v>46050</v>
      </c>
      <c r="E1254" t="s">
        <v>36</v>
      </c>
      <c r="G1254">
        <v>24</v>
      </c>
      <c r="H1254">
        <v>38.99</v>
      </c>
      <c r="I1254" t="s">
        <v>938</v>
      </c>
      <c r="K1254" t="b">
        <f>IF(Table1[[#This Row],[dispatch_date]]-Table1[[#This Row],[order_date]] &gt;=0, TRUE, FALSE)</f>
        <v>1</v>
      </c>
    </row>
    <row r="1255" spans="1:11" x14ac:dyDescent="0.2">
      <c r="A1255" t="s">
        <v>2453</v>
      </c>
      <c r="B1255" t="s">
        <v>1069</v>
      </c>
      <c r="C1255" s="9">
        <v>46050</v>
      </c>
      <c r="D1255" s="9">
        <v>46050</v>
      </c>
      <c r="E1255" t="s">
        <v>69</v>
      </c>
      <c r="F1255" t="s">
        <v>576</v>
      </c>
      <c r="G1255">
        <v>6</v>
      </c>
      <c r="H1255">
        <v>32.04</v>
      </c>
      <c r="I1255" t="s">
        <v>956</v>
      </c>
      <c r="K1255" t="b">
        <f>IF(Table1[[#This Row],[dispatch_date]]-Table1[[#This Row],[order_date]] &gt;=0, TRUE, FALSE)</f>
        <v>1</v>
      </c>
    </row>
    <row r="1256" spans="1:11" x14ac:dyDescent="0.2">
      <c r="A1256" t="s">
        <v>2675</v>
      </c>
      <c r="B1256" t="s">
        <v>1060</v>
      </c>
      <c r="C1256" s="9">
        <v>46050</v>
      </c>
      <c r="D1256" s="9">
        <v>46053</v>
      </c>
      <c r="E1256" t="s">
        <v>84</v>
      </c>
      <c r="F1256" t="s">
        <v>555</v>
      </c>
      <c r="G1256">
        <v>6</v>
      </c>
      <c r="H1256">
        <v>12.71</v>
      </c>
      <c r="I1256" t="s">
        <v>956</v>
      </c>
      <c r="K1256" t="b">
        <f>IF(Table1[[#This Row],[dispatch_date]]-Table1[[#This Row],[order_date]] &gt;=0, TRUE, FALSE)</f>
        <v>1</v>
      </c>
    </row>
    <row r="1257" spans="1:11" x14ac:dyDescent="0.2">
      <c r="A1257" t="s">
        <v>1986</v>
      </c>
      <c r="B1257" t="s">
        <v>976</v>
      </c>
      <c r="C1257" s="9">
        <v>46052</v>
      </c>
      <c r="D1257" s="9">
        <v>46054</v>
      </c>
      <c r="E1257" t="s">
        <v>101</v>
      </c>
      <c r="F1257" t="s">
        <v>573</v>
      </c>
      <c r="G1257">
        <v>48</v>
      </c>
      <c r="H1257">
        <v>161.28</v>
      </c>
      <c r="I1257" t="s">
        <v>938</v>
      </c>
      <c r="K1257" t="b">
        <f>IF(Table1[[#This Row],[dispatch_date]]-Table1[[#This Row],[order_date]] &gt;=0, TRUE, FALSE)</f>
        <v>1</v>
      </c>
    </row>
    <row r="1258" spans="1:11" x14ac:dyDescent="0.2">
      <c r="A1258" t="s">
        <v>2110</v>
      </c>
      <c r="B1258" t="s">
        <v>929</v>
      </c>
      <c r="C1258" s="9">
        <v>46052</v>
      </c>
      <c r="D1258" s="9">
        <v>46055</v>
      </c>
      <c r="E1258" t="s">
        <v>90</v>
      </c>
      <c r="F1258" t="s">
        <v>727</v>
      </c>
      <c r="G1258">
        <v>36</v>
      </c>
      <c r="H1258">
        <v>302.39999999999998</v>
      </c>
      <c r="I1258" t="s">
        <v>912</v>
      </c>
      <c r="K1258" t="b">
        <f>IF(Table1[[#This Row],[dispatch_date]]-Table1[[#This Row],[order_date]] &gt;=0, TRUE, FALSE)</f>
        <v>1</v>
      </c>
    </row>
    <row r="1259" spans="1:11" x14ac:dyDescent="0.2">
      <c r="A1259" t="s">
        <v>1806</v>
      </c>
      <c r="B1259" t="s">
        <v>989</v>
      </c>
      <c r="C1259" s="9">
        <v>46053</v>
      </c>
      <c r="D1259" s="9">
        <v>46055</v>
      </c>
      <c r="E1259" t="s">
        <v>33</v>
      </c>
      <c r="F1259" t="s">
        <v>831</v>
      </c>
      <c r="G1259">
        <v>24</v>
      </c>
      <c r="H1259">
        <v>53.04</v>
      </c>
      <c r="I1259" t="s">
        <v>912</v>
      </c>
      <c r="K1259" t="b">
        <f>IF(Table1[[#This Row],[dispatch_date]]-Table1[[#This Row],[order_date]] &gt;=0, TRUE, FALSE)</f>
        <v>1</v>
      </c>
    </row>
    <row r="1260" spans="1:11" x14ac:dyDescent="0.2">
      <c r="A1260" t="s">
        <v>2613</v>
      </c>
      <c r="B1260" t="s">
        <v>1004</v>
      </c>
      <c r="C1260" s="9">
        <v>46053</v>
      </c>
      <c r="D1260" s="9">
        <v>46053</v>
      </c>
      <c r="E1260" t="s">
        <v>99</v>
      </c>
      <c r="F1260" t="s">
        <v>703</v>
      </c>
      <c r="G1260">
        <v>6</v>
      </c>
      <c r="H1260">
        <v>44.34</v>
      </c>
      <c r="I1260" t="s">
        <v>927</v>
      </c>
      <c r="K1260" t="b">
        <f>IF(Table1[[#This Row],[dispatch_date]]-Table1[[#This Row],[order_date]] &gt;=0, TRUE, FALSE)</f>
        <v>1</v>
      </c>
    </row>
    <row r="1261" spans="1:11" x14ac:dyDescent="0.2">
      <c r="A1261" t="s">
        <v>1208</v>
      </c>
      <c r="B1261" t="s">
        <v>1048</v>
      </c>
      <c r="C1261" s="9">
        <v>46054</v>
      </c>
      <c r="D1261" s="9">
        <v>46055</v>
      </c>
      <c r="E1261" t="s">
        <v>125</v>
      </c>
      <c r="G1261">
        <v>24</v>
      </c>
      <c r="H1261">
        <v>183.12</v>
      </c>
      <c r="I1261" t="s">
        <v>912</v>
      </c>
      <c r="K1261" t="b">
        <f>IF(Table1[[#This Row],[dispatch_date]]-Table1[[#This Row],[order_date]] &gt;=0, TRUE, FALSE)</f>
        <v>1</v>
      </c>
    </row>
    <row r="1262" spans="1:11" x14ac:dyDescent="0.2">
      <c r="A1262" t="s">
        <v>1992</v>
      </c>
      <c r="B1262" t="s">
        <v>1055</v>
      </c>
      <c r="C1262" s="9">
        <v>46054</v>
      </c>
      <c r="D1262" s="9">
        <v>46057</v>
      </c>
      <c r="E1262" t="s">
        <v>108</v>
      </c>
      <c r="F1262" t="s">
        <v>564</v>
      </c>
      <c r="G1262">
        <v>72</v>
      </c>
      <c r="H1262">
        <v>514.08000000000004</v>
      </c>
      <c r="I1262" t="s">
        <v>938</v>
      </c>
      <c r="K1262" t="b">
        <f>IF(Table1[[#This Row],[dispatch_date]]-Table1[[#This Row],[order_date]] &gt;=0, TRUE, FALSE)</f>
        <v>1</v>
      </c>
    </row>
    <row r="1263" spans="1:11" x14ac:dyDescent="0.2">
      <c r="A1263" t="s">
        <v>2549</v>
      </c>
      <c r="B1263" t="s">
        <v>954</v>
      </c>
      <c r="C1263" s="9">
        <v>46024</v>
      </c>
      <c r="D1263" s="9">
        <v>46025</v>
      </c>
      <c r="E1263" t="s">
        <v>78</v>
      </c>
      <c r="F1263" t="s">
        <v>273</v>
      </c>
      <c r="G1263">
        <v>12</v>
      </c>
      <c r="H1263">
        <v>38.4</v>
      </c>
      <c r="I1263" t="s">
        <v>956</v>
      </c>
      <c r="J1263" t="s">
        <v>3134</v>
      </c>
      <c r="K1263" t="b">
        <f>IF(Table1[[#This Row],[dispatch_date]]-Table1[[#This Row],[order_date]] &gt;=0, TRUE, FALSE)</f>
        <v>1</v>
      </c>
    </row>
    <row r="1264" spans="1:11" x14ac:dyDescent="0.2">
      <c r="A1264" t="s">
        <v>2756</v>
      </c>
      <c r="B1264" t="s">
        <v>1069</v>
      </c>
      <c r="C1264" s="9">
        <v>46054</v>
      </c>
      <c r="D1264" s="9">
        <v>46055</v>
      </c>
      <c r="E1264" t="s">
        <v>110</v>
      </c>
      <c r="F1264" t="s">
        <v>866</v>
      </c>
      <c r="G1264">
        <v>72</v>
      </c>
      <c r="H1264">
        <v>235.44</v>
      </c>
      <c r="I1264" t="s">
        <v>956</v>
      </c>
      <c r="K1264" t="b">
        <f>IF(Table1[[#This Row],[dispatch_date]]-Table1[[#This Row],[order_date]] &gt;=0, TRUE, FALSE)</f>
        <v>1</v>
      </c>
    </row>
    <row r="1265" spans="1:11" x14ac:dyDescent="0.2">
      <c r="A1265" t="s">
        <v>1784</v>
      </c>
      <c r="B1265" t="s">
        <v>922</v>
      </c>
      <c r="C1265" s="9">
        <v>46055</v>
      </c>
      <c r="D1265" s="9">
        <v>46057</v>
      </c>
      <c r="E1265" t="s">
        <v>127</v>
      </c>
      <c r="F1265" t="s">
        <v>683</v>
      </c>
      <c r="G1265">
        <v>24</v>
      </c>
      <c r="H1265">
        <v>98.4</v>
      </c>
      <c r="I1265" t="s">
        <v>912</v>
      </c>
      <c r="K1265" t="b">
        <f>IF(Table1[[#This Row],[dispatch_date]]-Table1[[#This Row],[order_date]] &gt;=0, TRUE, FALSE)</f>
        <v>1</v>
      </c>
    </row>
    <row r="1266" spans="1:11" x14ac:dyDescent="0.2">
      <c r="A1266" t="s">
        <v>2632</v>
      </c>
      <c r="B1266" t="s">
        <v>1080</v>
      </c>
      <c r="C1266" s="9">
        <v>46055</v>
      </c>
      <c r="D1266" s="9">
        <v>46056</v>
      </c>
      <c r="E1266" t="s">
        <v>36</v>
      </c>
      <c r="F1266" t="s">
        <v>332</v>
      </c>
      <c r="G1266">
        <v>24</v>
      </c>
      <c r="H1266">
        <v>41.04</v>
      </c>
      <c r="I1266" t="s">
        <v>916</v>
      </c>
      <c r="K1266" t="b">
        <f>IF(Table1[[#This Row],[dispatch_date]]-Table1[[#This Row],[order_date]] &gt;=0, TRUE, FALSE)</f>
        <v>1</v>
      </c>
    </row>
    <row r="1267" spans="1:11" x14ac:dyDescent="0.2">
      <c r="A1267" t="s">
        <v>1422</v>
      </c>
      <c r="B1267" t="s">
        <v>906</v>
      </c>
      <c r="C1267" s="9">
        <v>46056</v>
      </c>
      <c r="D1267" s="9">
        <v>46058</v>
      </c>
      <c r="E1267" t="s">
        <v>114</v>
      </c>
      <c r="F1267" t="s">
        <v>706</v>
      </c>
      <c r="G1267">
        <v>6</v>
      </c>
      <c r="H1267">
        <v>29.7</v>
      </c>
      <c r="I1267" t="s">
        <v>938</v>
      </c>
      <c r="K1267" t="b">
        <f>IF(Table1[[#This Row],[dispatch_date]]-Table1[[#This Row],[order_date]] &gt;=0, TRUE, FALSE)</f>
        <v>1</v>
      </c>
    </row>
    <row r="1268" spans="1:11" x14ac:dyDescent="0.2">
      <c r="A1268" t="s">
        <v>1729</v>
      </c>
      <c r="B1268" t="s">
        <v>1061</v>
      </c>
      <c r="C1268" s="9">
        <v>46056</v>
      </c>
      <c r="D1268" s="9">
        <v>46059</v>
      </c>
      <c r="E1268" t="s">
        <v>67</v>
      </c>
      <c r="F1268" t="s">
        <v>751</v>
      </c>
      <c r="G1268">
        <v>24</v>
      </c>
      <c r="H1268">
        <v>127.2</v>
      </c>
      <c r="I1268" t="s">
        <v>912</v>
      </c>
      <c r="K1268" t="b">
        <f>IF(Table1[[#This Row],[dispatch_date]]-Table1[[#This Row],[order_date]] &gt;=0, TRUE, FALSE)</f>
        <v>1</v>
      </c>
    </row>
    <row r="1269" spans="1:11" x14ac:dyDescent="0.2">
      <c r="A1269" t="s">
        <v>2240</v>
      </c>
      <c r="B1269" t="s">
        <v>1056</v>
      </c>
      <c r="C1269" s="9">
        <v>46056</v>
      </c>
      <c r="D1269" s="9">
        <v>46059</v>
      </c>
      <c r="E1269" t="s">
        <v>112</v>
      </c>
      <c r="F1269" t="s">
        <v>327</v>
      </c>
      <c r="G1269">
        <v>12</v>
      </c>
      <c r="H1269">
        <v>68.510000000000005</v>
      </c>
      <c r="I1269" t="s">
        <v>912</v>
      </c>
      <c r="K1269" t="b">
        <f>IF(Table1[[#This Row],[dispatch_date]]-Table1[[#This Row],[order_date]] &gt;=0, TRUE, FALSE)</f>
        <v>1</v>
      </c>
    </row>
    <row r="1270" spans="1:11" x14ac:dyDescent="0.2">
      <c r="A1270" t="s">
        <v>1374</v>
      </c>
      <c r="B1270" t="s">
        <v>1029</v>
      </c>
      <c r="C1270" s="9">
        <v>46057</v>
      </c>
      <c r="D1270" s="9">
        <v>46058</v>
      </c>
      <c r="E1270" t="s">
        <v>123</v>
      </c>
      <c r="F1270" t="s">
        <v>627</v>
      </c>
      <c r="G1270">
        <v>48</v>
      </c>
      <c r="H1270">
        <v>335.52</v>
      </c>
      <c r="I1270" t="s">
        <v>916</v>
      </c>
      <c r="K1270" t="b">
        <f>IF(Table1[[#This Row],[dispatch_date]]-Table1[[#This Row],[order_date]] &gt;=0, TRUE, FALSE)</f>
        <v>1</v>
      </c>
    </row>
    <row r="1271" spans="1:11" x14ac:dyDescent="0.2">
      <c r="A1271" t="s">
        <v>1403</v>
      </c>
      <c r="B1271" t="s">
        <v>925</v>
      </c>
      <c r="C1271" s="9">
        <v>46057</v>
      </c>
      <c r="D1271" s="9">
        <v>46060</v>
      </c>
      <c r="E1271" t="s">
        <v>38</v>
      </c>
      <c r="G1271">
        <v>12</v>
      </c>
      <c r="H1271">
        <v>61.2</v>
      </c>
      <c r="I1271" t="s">
        <v>927</v>
      </c>
      <c r="K1271" t="b">
        <f>IF(Table1[[#This Row],[dispatch_date]]-Table1[[#This Row],[order_date]] &gt;=0, TRUE, FALSE)</f>
        <v>1</v>
      </c>
    </row>
    <row r="1272" spans="1:11" x14ac:dyDescent="0.2">
      <c r="A1272" t="s">
        <v>1629</v>
      </c>
      <c r="B1272" t="s">
        <v>1045</v>
      </c>
      <c r="C1272" s="9">
        <v>46114</v>
      </c>
      <c r="D1272" s="9">
        <v>46117</v>
      </c>
      <c r="E1272" t="s">
        <v>110</v>
      </c>
      <c r="F1272" t="s">
        <v>358</v>
      </c>
      <c r="G1272">
        <v>72</v>
      </c>
      <c r="H1272">
        <v>235.44</v>
      </c>
      <c r="I1272" t="s">
        <v>912</v>
      </c>
      <c r="K1272" t="b">
        <f>IF(Table1[[#This Row],[dispatch_date]]-Table1[[#This Row],[order_date]] &gt;=0, TRUE, FALSE)</f>
        <v>1</v>
      </c>
    </row>
    <row r="1273" spans="1:11" x14ac:dyDescent="0.2">
      <c r="A1273" t="s">
        <v>2100</v>
      </c>
      <c r="B1273" t="s">
        <v>983</v>
      </c>
      <c r="C1273" s="9">
        <v>46057</v>
      </c>
      <c r="D1273" s="9">
        <v>46059</v>
      </c>
      <c r="E1273" t="s">
        <v>80</v>
      </c>
      <c r="F1273" t="s">
        <v>352</v>
      </c>
      <c r="G1273">
        <v>36</v>
      </c>
      <c r="H1273">
        <v>203.49</v>
      </c>
      <c r="I1273" t="s">
        <v>916</v>
      </c>
      <c r="K1273" t="b">
        <f>IF(Table1[[#This Row],[dispatch_date]]-Table1[[#This Row],[order_date]] &gt;=0, TRUE, FALSE)</f>
        <v>1</v>
      </c>
    </row>
    <row r="1274" spans="1:11" x14ac:dyDescent="0.2">
      <c r="A1274" t="s">
        <v>1352</v>
      </c>
      <c r="B1274" t="s">
        <v>976</v>
      </c>
      <c r="C1274" s="9">
        <v>46058</v>
      </c>
      <c r="D1274" s="9">
        <v>46059</v>
      </c>
      <c r="E1274" t="s">
        <v>110</v>
      </c>
      <c r="F1274" t="s">
        <v>668</v>
      </c>
      <c r="G1274">
        <v>24</v>
      </c>
      <c r="H1274">
        <v>78.48</v>
      </c>
      <c r="I1274" t="s">
        <v>938</v>
      </c>
      <c r="K1274" t="b">
        <f>IF(Table1[[#This Row],[dispatch_date]]-Table1[[#This Row],[order_date]] &gt;=0, TRUE, FALSE)</f>
        <v>1</v>
      </c>
    </row>
    <row r="1275" spans="1:11" x14ac:dyDescent="0.2">
      <c r="A1275" t="s">
        <v>1798</v>
      </c>
      <c r="B1275" t="s">
        <v>981</v>
      </c>
      <c r="C1275" s="9">
        <v>46058</v>
      </c>
      <c r="D1275" s="9">
        <v>46059</v>
      </c>
      <c r="E1275" t="s">
        <v>103</v>
      </c>
      <c r="F1275" t="s">
        <v>887</v>
      </c>
      <c r="G1275">
        <v>48</v>
      </c>
      <c r="H1275">
        <v>346.08</v>
      </c>
      <c r="I1275" t="s">
        <v>916</v>
      </c>
      <c r="K1275" t="b">
        <f>IF(Table1[[#This Row],[dispatch_date]]-Table1[[#This Row],[order_date]] &gt;=0, TRUE, FALSE)</f>
        <v>1</v>
      </c>
    </row>
    <row r="1276" spans="1:11" x14ac:dyDescent="0.2">
      <c r="A1276" t="s">
        <v>2516</v>
      </c>
      <c r="B1276" t="s">
        <v>1034</v>
      </c>
      <c r="C1276" s="9">
        <v>46058</v>
      </c>
      <c r="D1276" s="9">
        <v>46058</v>
      </c>
      <c r="E1276" t="s">
        <v>25</v>
      </c>
      <c r="F1276" t="s">
        <v>747</v>
      </c>
      <c r="G1276">
        <v>36</v>
      </c>
      <c r="H1276">
        <v>199.8</v>
      </c>
      <c r="I1276" t="s">
        <v>938</v>
      </c>
      <c r="K1276" t="b">
        <f>IF(Table1[[#This Row],[dispatch_date]]-Table1[[#This Row],[order_date]] &gt;=0, TRUE, FALSE)</f>
        <v>1</v>
      </c>
    </row>
    <row r="1277" spans="1:11" x14ac:dyDescent="0.2">
      <c r="A1277" t="s">
        <v>2826</v>
      </c>
      <c r="B1277" t="s">
        <v>1029</v>
      </c>
      <c r="C1277" s="9">
        <v>46058</v>
      </c>
      <c r="D1277" s="9">
        <v>46060</v>
      </c>
      <c r="E1277" t="s">
        <v>95</v>
      </c>
      <c r="F1277" t="s">
        <v>739</v>
      </c>
      <c r="G1277">
        <v>36</v>
      </c>
      <c r="H1277">
        <v>141.84</v>
      </c>
      <c r="I1277" t="s">
        <v>938</v>
      </c>
      <c r="K1277" t="b">
        <f>IF(Table1[[#This Row],[dispatch_date]]-Table1[[#This Row],[order_date]] &gt;=0, TRUE, FALSE)</f>
        <v>1</v>
      </c>
    </row>
    <row r="1278" spans="1:11" x14ac:dyDescent="0.2">
      <c r="A1278" t="s">
        <v>1809</v>
      </c>
      <c r="B1278" t="s">
        <v>1009</v>
      </c>
      <c r="C1278" s="9">
        <v>46059</v>
      </c>
      <c r="D1278" s="9">
        <v>46059</v>
      </c>
      <c r="E1278" t="s">
        <v>71</v>
      </c>
      <c r="F1278" t="s">
        <v>516</v>
      </c>
      <c r="G1278">
        <v>24</v>
      </c>
      <c r="H1278">
        <v>228.24</v>
      </c>
      <c r="I1278" t="s">
        <v>912</v>
      </c>
      <c r="K1278" t="b">
        <f>IF(Table1[[#This Row],[dispatch_date]]-Table1[[#This Row],[order_date]] &gt;=0, TRUE, FALSE)</f>
        <v>1</v>
      </c>
    </row>
    <row r="1279" spans="1:11" x14ac:dyDescent="0.2">
      <c r="A1279" t="s">
        <v>2744</v>
      </c>
      <c r="B1279" t="s">
        <v>1074</v>
      </c>
      <c r="C1279" s="9">
        <v>46059</v>
      </c>
      <c r="D1279" s="9">
        <v>46061</v>
      </c>
      <c r="E1279" t="s">
        <v>97</v>
      </c>
      <c r="F1279" t="s">
        <v>279</v>
      </c>
      <c r="G1279">
        <v>24</v>
      </c>
      <c r="H1279">
        <v>129.12</v>
      </c>
      <c r="I1279" t="s">
        <v>916</v>
      </c>
      <c r="K1279" t="b">
        <f>IF(Table1[[#This Row],[dispatch_date]]-Table1[[#This Row],[order_date]] &gt;=0, TRUE, FALSE)</f>
        <v>1</v>
      </c>
    </row>
    <row r="1280" spans="1:11" x14ac:dyDescent="0.2">
      <c r="A1280" t="s">
        <v>2867</v>
      </c>
      <c r="B1280" t="s">
        <v>1052</v>
      </c>
      <c r="C1280" s="9">
        <v>46060</v>
      </c>
      <c r="D1280" s="9">
        <v>46063</v>
      </c>
      <c r="E1280" t="s">
        <v>84</v>
      </c>
      <c r="G1280">
        <v>6</v>
      </c>
      <c r="H1280">
        <v>13.38</v>
      </c>
      <c r="I1280" t="s">
        <v>956</v>
      </c>
      <c r="K1280" t="b">
        <f>IF(Table1[[#This Row],[dispatch_date]]-Table1[[#This Row],[order_date]] &gt;=0, TRUE, FALSE)</f>
        <v>1</v>
      </c>
    </row>
    <row r="1281" spans="1:11" x14ac:dyDescent="0.2">
      <c r="A1281" t="s">
        <v>1145</v>
      </c>
      <c r="B1281" t="s">
        <v>932</v>
      </c>
      <c r="C1281" s="9">
        <v>46061</v>
      </c>
      <c r="D1281" s="9">
        <v>46061</v>
      </c>
      <c r="E1281" t="s">
        <v>65</v>
      </c>
      <c r="F1281" t="s">
        <v>807</v>
      </c>
      <c r="G1281">
        <v>6</v>
      </c>
      <c r="H1281">
        <v>79.62</v>
      </c>
      <c r="I1281" t="s">
        <v>956</v>
      </c>
      <c r="K1281" t="b">
        <f>IF(Table1[[#This Row],[dispatch_date]]-Table1[[#This Row],[order_date]] &gt;=0, TRUE, FALSE)</f>
        <v>1</v>
      </c>
    </row>
    <row r="1282" spans="1:11" x14ac:dyDescent="0.2">
      <c r="A1282" t="s">
        <v>1546</v>
      </c>
      <c r="B1282" t="s">
        <v>936</v>
      </c>
      <c r="C1282" s="9">
        <v>46061</v>
      </c>
      <c r="D1282" s="9">
        <v>46062</v>
      </c>
      <c r="E1282" t="s">
        <v>80</v>
      </c>
      <c r="F1282" t="s">
        <v>352</v>
      </c>
      <c r="G1282">
        <v>72</v>
      </c>
      <c r="H1282">
        <v>428.4</v>
      </c>
      <c r="I1282" t="s">
        <v>938</v>
      </c>
      <c r="K1282" t="b">
        <f>IF(Table1[[#This Row],[dispatch_date]]-Table1[[#This Row],[order_date]] &gt;=0, TRUE, FALSE)</f>
        <v>1</v>
      </c>
    </row>
    <row r="1283" spans="1:11" x14ac:dyDescent="0.2">
      <c r="A1283" t="s">
        <v>1790</v>
      </c>
      <c r="B1283" t="s">
        <v>952</v>
      </c>
      <c r="C1283" s="9">
        <v>46062</v>
      </c>
      <c r="D1283" s="9">
        <v>46065</v>
      </c>
      <c r="E1283" t="s">
        <v>52</v>
      </c>
      <c r="F1283" t="s">
        <v>714</v>
      </c>
      <c r="G1283">
        <v>6</v>
      </c>
      <c r="H1283">
        <v>29.58</v>
      </c>
      <c r="I1283" t="s">
        <v>938</v>
      </c>
      <c r="K1283" t="b">
        <f>IF(Table1[[#This Row],[dispatch_date]]-Table1[[#This Row],[order_date]] &gt;=0, TRUE, FALSE)</f>
        <v>1</v>
      </c>
    </row>
    <row r="1284" spans="1:11" x14ac:dyDescent="0.2">
      <c r="A1284" t="s">
        <v>2237</v>
      </c>
      <c r="B1284" t="s">
        <v>993</v>
      </c>
      <c r="C1284" s="9">
        <v>46062</v>
      </c>
      <c r="D1284" s="9">
        <v>46065</v>
      </c>
      <c r="E1284" t="s">
        <v>33</v>
      </c>
      <c r="F1284" t="s">
        <v>206</v>
      </c>
      <c r="G1284">
        <v>24</v>
      </c>
      <c r="H1284">
        <v>53.04</v>
      </c>
      <c r="I1284" t="s">
        <v>938</v>
      </c>
      <c r="K1284" t="b">
        <f>IF(Table1[[#This Row],[dispatch_date]]-Table1[[#This Row],[order_date]] &gt;=0, TRUE, FALSE)</f>
        <v>1</v>
      </c>
    </row>
    <row r="1285" spans="1:11" x14ac:dyDescent="0.2">
      <c r="A1285" t="s">
        <v>2494</v>
      </c>
      <c r="B1285" t="s">
        <v>991</v>
      </c>
      <c r="C1285" s="9">
        <v>46062</v>
      </c>
      <c r="D1285" s="9">
        <v>46064</v>
      </c>
      <c r="E1285" t="s">
        <v>121</v>
      </c>
      <c r="F1285" t="s">
        <v>493</v>
      </c>
      <c r="G1285">
        <v>12</v>
      </c>
      <c r="H1285">
        <v>154.08000000000001</v>
      </c>
      <c r="I1285" t="s">
        <v>956</v>
      </c>
      <c r="K1285" t="b">
        <f>IF(Table1[[#This Row],[dispatch_date]]-Table1[[#This Row],[order_date]] &gt;=0, TRUE, FALSE)</f>
        <v>1</v>
      </c>
    </row>
    <row r="1286" spans="1:11" x14ac:dyDescent="0.2">
      <c r="A1286" t="s">
        <v>1570</v>
      </c>
      <c r="B1286" t="s">
        <v>1031</v>
      </c>
      <c r="C1286" s="9">
        <v>46063</v>
      </c>
      <c r="D1286" s="9">
        <v>46063</v>
      </c>
      <c r="E1286" t="s">
        <v>63</v>
      </c>
      <c r="F1286" t="s">
        <v>744</v>
      </c>
      <c r="G1286">
        <v>24</v>
      </c>
      <c r="H1286">
        <v>235.2</v>
      </c>
      <c r="I1286" t="s">
        <v>956</v>
      </c>
      <c r="K1286" t="b">
        <f>IF(Table1[[#This Row],[dispatch_date]]-Table1[[#This Row],[order_date]] &gt;=0, TRUE, FALSE)</f>
        <v>1</v>
      </c>
    </row>
    <row r="1287" spans="1:11" x14ac:dyDescent="0.2">
      <c r="A1287" t="s">
        <v>1902</v>
      </c>
      <c r="B1287" t="s">
        <v>991</v>
      </c>
      <c r="C1287" s="9">
        <v>46063</v>
      </c>
      <c r="D1287" s="9">
        <v>46065</v>
      </c>
      <c r="E1287" t="s">
        <v>8</v>
      </c>
      <c r="F1287" t="s">
        <v>599</v>
      </c>
      <c r="G1287">
        <v>24</v>
      </c>
      <c r="H1287">
        <v>144.72</v>
      </c>
      <c r="I1287" t="s">
        <v>956</v>
      </c>
      <c r="K1287" t="b">
        <f>IF(Table1[[#This Row],[dispatch_date]]-Table1[[#This Row],[order_date]] &gt;=0, TRUE, FALSE)</f>
        <v>1</v>
      </c>
    </row>
    <row r="1288" spans="1:11" x14ac:dyDescent="0.2">
      <c r="A1288" t="s">
        <v>2541</v>
      </c>
      <c r="B1288" t="s">
        <v>1031</v>
      </c>
      <c r="C1288" s="9">
        <v>46063</v>
      </c>
      <c r="D1288" s="9">
        <v>46064</v>
      </c>
      <c r="E1288" t="s">
        <v>19</v>
      </c>
      <c r="F1288" t="s">
        <v>367</v>
      </c>
      <c r="G1288">
        <v>48</v>
      </c>
      <c r="H1288">
        <v>97.44</v>
      </c>
      <c r="I1288" t="s">
        <v>956</v>
      </c>
      <c r="K1288" t="b">
        <f>IF(Table1[[#This Row],[dispatch_date]]-Table1[[#This Row],[order_date]] &gt;=0, TRUE, FALSE)</f>
        <v>1</v>
      </c>
    </row>
    <row r="1289" spans="1:11" x14ac:dyDescent="0.2">
      <c r="A1289" t="s">
        <v>1536</v>
      </c>
      <c r="B1289" t="s">
        <v>910</v>
      </c>
      <c r="C1289" s="9">
        <v>46065</v>
      </c>
      <c r="D1289" s="9">
        <v>46065</v>
      </c>
      <c r="E1289" t="s">
        <v>14</v>
      </c>
      <c r="F1289" t="s">
        <v>375</v>
      </c>
      <c r="G1289">
        <v>72</v>
      </c>
      <c r="H1289">
        <v>262.8</v>
      </c>
      <c r="I1289" t="s">
        <v>912</v>
      </c>
      <c r="K1289" t="b">
        <f>IF(Table1[[#This Row],[dispatch_date]]-Table1[[#This Row],[order_date]] &gt;=0, TRUE, FALSE)</f>
        <v>1</v>
      </c>
    </row>
    <row r="1290" spans="1:11" x14ac:dyDescent="0.2">
      <c r="A1290" t="s">
        <v>2569</v>
      </c>
      <c r="B1290" t="s">
        <v>951</v>
      </c>
      <c r="C1290" s="9">
        <v>46065</v>
      </c>
      <c r="D1290" s="9">
        <v>46065</v>
      </c>
      <c r="E1290" t="s">
        <v>105</v>
      </c>
      <c r="F1290" t="s">
        <v>452</v>
      </c>
      <c r="G1290">
        <v>72</v>
      </c>
      <c r="H1290">
        <v>406.98</v>
      </c>
      <c r="I1290" t="s">
        <v>956</v>
      </c>
      <c r="K1290" t="b">
        <f>IF(Table1[[#This Row],[dispatch_date]]-Table1[[#This Row],[order_date]] &gt;=0, TRUE, FALSE)</f>
        <v>1</v>
      </c>
    </row>
    <row r="1291" spans="1:11" x14ac:dyDescent="0.2">
      <c r="A1291" t="s">
        <v>2568</v>
      </c>
      <c r="B1291" t="s">
        <v>1064</v>
      </c>
      <c r="C1291" s="9">
        <v>46066</v>
      </c>
      <c r="D1291" s="9">
        <v>46068</v>
      </c>
      <c r="E1291" t="s">
        <v>69</v>
      </c>
      <c r="F1291" t="s">
        <v>576</v>
      </c>
      <c r="G1291">
        <v>72</v>
      </c>
      <c r="H1291">
        <v>384.48</v>
      </c>
      <c r="I1291" t="s">
        <v>1079</v>
      </c>
      <c r="K1291" t="b">
        <f>IF(Table1[[#This Row],[dispatch_date]]-Table1[[#This Row],[order_date]] &gt;=0, TRUE, FALSE)</f>
        <v>1</v>
      </c>
    </row>
    <row r="1292" spans="1:11" x14ac:dyDescent="0.2">
      <c r="A1292" t="s">
        <v>1298</v>
      </c>
      <c r="B1292" t="s">
        <v>1059</v>
      </c>
      <c r="C1292" s="9">
        <v>46067</v>
      </c>
      <c r="D1292" s="9">
        <v>46069</v>
      </c>
      <c r="E1292" t="s">
        <v>22</v>
      </c>
      <c r="F1292" t="s">
        <v>546</v>
      </c>
      <c r="G1292">
        <v>48</v>
      </c>
      <c r="H1292">
        <v>238.56</v>
      </c>
      <c r="I1292" t="s">
        <v>956</v>
      </c>
      <c r="K1292" t="b">
        <f>IF(Table1[[#This Row],[dispatch_date]]-Table1[[#This Row],[order_date]] &gt;=0, TRUE, FALSE)</f>
        <v>1</v>
      </c>
    </row>
    <row r="1293" spans="1:11" x14ac:dyDescent="0.2">
      <c r="A1293" t="s">
        <v>2026</v>
      </c>
      <c r="B1293" t="s">
        <v>991</v>
      </c>
      <c r="C1293" s="9">
        <v>46067</v>
      </c>
      <c r="D1293" s="9">
        <v>46067</v>
      </c>
      <c r="E1293" t="s">
        <v>69</v>
      </c>
      <c r="F1293" t="s">
        <v>364</v>
      </c>
      <c r="G1293">
        <v>24</v>
      </c>
      <c r="H1293">
        <v>128.16</v>
      </c>
      <c r="I1293" t="s">
        <v>956</v>
      </c>
      <c r="K1293" t="b">
        <f>IF(Table1[[#This Row],[dispatch_date]]-Table1[[#This Row],[order_date]] &gt;=0, TRUE, FALSE)</f>
        <v>1</v>
      </c>
    </row>
    <row r="1294" spans="1:11" x14ac:dyDescent="0.2">
      <c r="A1294" t="s">
        <v>2101</v>
      </c>
      <c r="B1294" t="s">
        <v>945</v>
      </c>
      <c r="C1294" s="9">
        <v>46067</v>
      </c>
      <c r="D1294" s="9">
        <v>46067</v>
      </c>
      <c r="E1294" t="s">
        <v>116</v>
      </c>
      <c r="F1294" t="s">
        <v>543</v>
      </c>
      <c r="G1294">
        <v>48</v>
      </c>
      <c r="H1294">
        <v>232.32</v>
      </c>
      <c r="I1294" t="s">
        <v>912</v>
      </c>
      <c r="K1294" t="b">
        <f>IF(Table1[[#This Row],[dispatch_date]]-Table1[[#This Row],[order_date]] &gt;=0, TRUE, FALSE)</f>
        <v>1</v>
      </c>
    </row>
    <row r="1295" spans="1:11" x14ac:dyDescent="0.2">
      <c r="A1295" t="s">
        <v>2742</v>
      </c>
      <c r="B1295" t="s">
        <v>1076</v>
      </c>
      <c r="C1295" s="9">
        <v>46067</v>
      </c>
      <c r="D1295" s="9">
        <v>46070</v>
      </c>
      <c r="E1295" t="s">
        <v>123</v>
      </c>
      <c r="F1295" t="s">
        <v>484</v>
      </c>
      <c r="G1295">
        <v>36</v>
      </c>
      <c r="H1295">
        <v>251.64</v>
      </c>
      <c r="I1295" t="s">
        <v>927</v>
      </c>
      <c r="K1295" t="b">
        <f>IF(Table1[[#This Row],[dispatch_date]]-Table1[[#This Row],[order_date]] &gt;=0, TRUE, FALSE)</f>
        <v>1</v>
      </c>
    </row>
    <row r="1296" spans="1:11" x14ac:dyDescent="0.2">
      <c r="A1296" t="s">
        <v>1969</v>
      </c>
      <c r="B1296" t="s">
        <v>1056</v>
      </c>
      <c r="C1296" s="9">
        <v>46068</v>
      </c>
      <c r="D1296" s="9">
        <v>46069</v>
      </c>
      <c r="E1296" t="s">
        <v>90</v>
      </c>
      <c r="G1296">
        <v>48</v>
      </c>
      <c r="H1296">
        <v>403.2</v>
      </c>
      <c r="I1296" t="s">
        <v>912</v>
      </c>
      <c r="K1296" t="b">
        <f>IF(Table1[[#This Row],[dispatch_date]]-Table1[[#This Row],[order_date]] &gt;=0, TRUE, FALSE)</f>
        <v>1</v>
      </c>
    </row>
    <row r="1297" spans="1:11" x14ac:dyDescent="0.2">
      <c r="A1297" t="s">
        <v>2277</v>
      </c>
      <c r="B1297" t="s">
        <v>951</v>
      </c>
      <c r="C1297" s="9">
        <v>46068</v>
      </c>
      <c r="D1297" s="9">
        <v>46068</v>
      </c>
      <c r="E1297" t="s">
        <v>67</v>
      </c>
      <c r="F1297" t="s">
        <v>223</v>
      </c>
      <c r="G1297">
        <v>12</v>
      </c>
      <c r="H1297">
        <v>63.6</v>
      </c>
      <c r="I1297" t="s">
        <v>912</v>
      </c>
      <c r="K1297" t="b">
        <f>IF(Table1[[#This Row],[dispatch_date]]-Table1[[#This Row],[order_date]] &gt;=0, TRUE, FALSE)</f>
        <v>1</v>
      </c>
    </row>
    <row r="1298" spans="1:11" x14ac:dyDescent="0.2">
      <c r="A1298" t="s">
        <v>2565</v>
      </c>
      <c r="B1298" t="s">
        <v>1080</v>
      </c>
      <c r="C1298" s="9">
        <v>46068</v>
      </c>
      <c r="D1298" s="9">
        <v>46068</v>
      </c>
      <c r="E1298" t="s">
        <v>44</v>
      </c>
      <c r="G1298">
        <v>6</v>
      </c>
      <c r="H1298">
        <v>36.299999999999997</v>
      </c>
      <c r="I1298" t="s">
        <v>916</v>
      </c>
      <c r="K1298" t="b">
        <f>IF(Table1[[#This Row],[dispatch_date]]-Table1[[#This Row],[order_date]] &gt;=0, TRUE, FALSE)</f>
        <v>1</v>
      </c>
    </row>
    <row r="1299" spans="1:11" x14ac:dyDescent="0.2">
      <c r="A1299" t="s">
        <v>2739</v>
      </c>
      <c r="B1299" t="s">
        <v>1061</v>
      </c>
      <c r="C1299" s="9">
        <v>46068</v>
      </c>
      <c r="D1299" s="9">
        <v>46071</v>
      </c>
      <c r="E1299" t="s">
        <v>50</v>
      </c>
      <c r="F1299" t="s">
        <v>525</v>
      </c>
      <c r="G1299">
        <v>24</v>
      </c>
      <c r="H1299">
        <v>139.08000000000001</v>
      </c>
      <c r="I1299" t="s">
        <v>1079</v>
      </c>
      <c r="K1299" t="b">
        <f>IF(Table1[[#This Row],[dispatch_date]]-Table1[[#This Row],[order_date]] &gt;=0, TRUE, FALSE)</f>
        <v>1</v>
      </c>
    </row>
    <row r="1300" spans="1:11" x14ac:dyDescent="0.2">
      <c r="A1300" t="s">
        <v>1167</v>
      </c>
      <c r="B1300" t="s">
        <v>952</v>
      </c>
      <c r="C1300" s="9">
        <v>46069</v>
      </c>
      <c r="D1300" s="9">
        <v>46072</v>
      </c>
      <c r="E1300" t="s">
        <v>80</v>
      </c>
      <c r="F1300" t="s">
        <v>352</v>
      </c>
      <c r="G1300">
        <v>24</v>
      </c>
      <c r="H1300">
        <v>142.80000000000001</v>
      </c>
      <c r="I1300" t="s">
        <v>938</v>
      </c>
      <c r="K1300" t="b">
        <f>IF(Table1[[#This Row],[dispatch_date]]-Table1[[#This Row],[order_date]] &gt;=0, TRUE, FALSE)</f>
        <v>1</v>
      </c>
    </row>
    <row r="1301" spans="1:11" x14ac:dyDescent="0.2">
      <c r="A1301" t="s">
        <v>2260</v>
      </c>
      <c r="B1301" t="s">
        <v>948</v>
      </c>
      <c r="C1301" s="9">
        <v>46069</v>
      </c>
      <c r="D1301" s="9">
        <v>46071</v>
      </c>
      <c r="E1301" t="s">
        <v>30</v>
      </c>
      <c r="F1301" t="s">
        <v>613</v>
      </c>
      <c r="G1301">
        <v>72</v>
      </c>
      <c r="H1301">
        <v>172.8</v>
      </c>
      <c r="I1301" t="s">
        <v>938</v>
      </c>
      <c r="K1301" t="b">
        <f>IF(Table1[[#This Row],[dispatch_date]]-Table1[[#This Row],[order_date]] &gt;=0, TRUE, FALSE)</f>
        <v>1</v>
      </c>
    </row>
    <row r="1302" spans="1:11" x14ac:dyDescent="0.2">
      <c r="A1302" t="s">
        <v>1378</v>
      </c>
      <c r="B1302" t="s">
        <v>1072</v>
      </c>
      <c r="C1302" s="9">
        <v>46070</v>
      </c>
      <c r="D1302" s="9">
        <v>46073</v>
      </c>
      <c r="E1302" t="s">
        <v>125</v>
      </c>
      <c r="F1302" t="s">
        <v>519</v>
      </c>
      <c r="G1302">
        <v>24</v>
      </c>
      <c r="H1302">
        <v>173.96</v>
      </c>
      <c r="I1302" t="s">
        <v>956</v>
      </c>
      <c r="K1302" t="b">
        <f>IF(Table1[[#This Row],[dispatch_date]]-Table1[[#This Row],[order_date]] &gt;=0, TRUE, FALSE)</f>
        <v>1</v>
      </c>
    </row>
    <row r="1303" spans="1:11" x14ac:dyDescent="0.2">
      <c r="A1303" t="s">
        <v>1927</v>
      </c>
      <c r="B1303" t="s">
        <v>1060</v>
      </c>
      <c r="C1303" s="9">
        <v>46070</v>
      </c>
      <c r="D1303" s="9">
        <v>46070</v>
      </c>
      <c r="E1303" t="s">
        <v>108</v>
      </c>
      <c r="F1303" t="s">
        <v>564</v>
      </c>
      <c r="G1303">
        <v>12</v>
      </c>
      <c r="H1303">
        <v>81.400000000000006</v>
      </c>
      <c r="I1303" t="s">
        <v>927</v>
      </c>
      <c r="K1303" t="b">
        <f>IF(Table1[[#This Row],[dispatch_date]]-Table1[[#This Row],[order_date]] &gt;=0, TRUE, FALSE)</f>
        <v>1</v>
      </c>
    </row>
    <row r="1304" spans="1:11" x14ac:dyDescent="0.2">
      <c r="A1304" t="s">
        <v>1330</v>
      </c>
      <c r="B1304" t="s">
        <v>945</v>
      </c>
      <c r="C1304" s="9">
        <v>46071</v>
      </c>
      <c r="D1304" s="9">
        <v>46073</v>
      </c>
      <c r="E1304" t="s">
        <v>112</v>
      </c>
      <c r="G1304">
        <v>36</v>
      </c>
      <c r="H1304">
        <v>216.36</v>
      </c>
      <c r="I1304" t="s">
        <v>938</v>
      </c>
      <c r="K1304" t="b">
        <f>IF(Table1[[#This Row],[dispatch_date]]-Table1[[#This Row],[order_date]] &gt;=0, TRUE, FALSE)</f>
        <v>1</v>
      </c>
    </row>
    <row r="1305" spans="1:11" x14ac:dyDescent="0.2">
      <c r="A1305" t="s">
        <v>1390</v>
      </c>
      <c r="B1305" t="s">
        <v>1048</v>
      </c>
      <c r="C1305" s="9">
        <v>46071</v>
      </c>
      <c r="D1305" s="9">
        <v>46072</v>
      </c>
      <c r="E1305" t="s">
        <v>48</v>
      </c>
      <c r="F1305" t="s">
        <v>247</v>
      </c>
      <c r="G1305">
        <v>0</v>
      </c>
      <c r="H1305">
        <v>161.76</v>
      </c>
      <c r="I1305" t="s">
        <v>912</v>
      </c>
      <c r="J1305" t="s">
        <v>3136</v>
      </c>
      <c r="K1305" t="b">
        <f>IF(Table1[[#This Row],[dispatch_date]]-Table1[[#This Row],[order_date]] &gt;=0, TRUE, FALSE)</f>
        <v>1</v>
      </c>
    </row>
    <row r="1306" spans="1:11" x14ac:dyDescent="0.2">
      <c r="A1306" t="s">
        <v>2063</v>
      </c>
      <c r="B1306" t="s">
        <v>1006</v>
      </c>
      <c r="C1306" s="9">
        <v>46071</v>
      </c>
      <c r="D1306" s="9">
        <v>46072</v>
      </c>
      <c r="E1306" t="s">
        <v>88</v>
      </c>
      <c r="F1306" t="s">
        <v>430</v>
      </c>
      <c r="G1306">
        <v>72</v>
      </c>
      <c r="H1306">
        <v>297.36</v>
      </c>
      <c r="I1306" t="s">
        <v>912</v>
      </c>
      <c r="K1306" t="b">
        <f>IF(Table1[[#This Row],[dispatch_date]]-Table1[[#This Row],[order_date]] &gt;=0, TRUE, FALSE)</f>
        <v>1</v>
      </c>
    </row>
    <row r="1307" spans="1:11" x14ac:dyDescent="0.2">
      <c r="A1307" t="s">
        <v>2152</v>
      </c>
      <c r="B1307" t="s">
        <v>979</v>
      </c>
      <c r="C1307" s="9">
        <v>46071</v>
      </c>
      <c r="D1307" s="9">
        <v>46073</v>
      </c>
      <c r="E1307" t="s">
        <v>78</v>
      </c>
      <c r="F1307" t="s">
        <v>273</v>
      </c>
      <c r="G1307">
        <v>24</v>
      </c>
      <c r="H1307">
        <v>76.8</v>
      </c>
      <c r="I1307" t="s">
        <v>927</v>
      </c>
      <c r="K1307" t="b">
        <f>IF(Table1[[#This Row],[dispatch_date]]-Table1[[#This Row],[order_date]] &gt;=0, TRUE, FALSE)</f>
        <v>1</v>
      </c>
    </row>
    <row r="1308" spans="1:11" x14ac:dyDescent="0.2">
      <c r="A1308" t="s">
        <v>2203</v>
      </c>
      <c r="B1308" t="s">
        <v>1069</v>
      </c>
      <c r="C1308" s="9">
        <v>46071</v>
      </c>
      <c r="D1308" s="9">
        <v>46072</v>
      </c>
      <c r="E1308" t="s">
        <v>44</v>
      </c>
      <c r="F1308" t="s">
        <v>511</v>
      </c>
      <c r="G1308">
        <v>12</v>
      </c>
      <c r="H1308">
        <v>72.599999999999994</v>
      </c>
      <c r="I1308" t="s">
        <v>956</v>
      </c>
      <c r="K1308" t="b">
        <f>IF(Table1[[#This Row],[dispatch_date]]-Table1[[#This Row],[order_date]] &gt;=0, TRUE, FALSE)</f>
        <v>1</v>
      </c>
    </row>
    <row r="1309" spans="1:11" x14ac:dyDescent="0.2">
      <c r="A1309" t="s">
        <v>2670</v>
      </c>
      <c r="B1309" t="s">
        <v>971</v>
      </c>
      <c r="C1309" s="9">
        <v>46071</v>
      </c>
      <c r="D1309" s="9">
        <v>46074</v>
      </c>
      <c r="E1309" t="s">
        <v>52</v>
      </c>
      <c r="F1309" t="s">
        <v>796</v>
      </c>
      <c r="G1309">
        <v>12</v>
      </c>
      <c r="H1309">
        <v>59.16</v>
      </c>
      <c r="I1309" t="s">
        <v>956</v>
      </c>
      <c r="K1309" t="b">
        <f>IF(Table1[[#This Row],[dispatch_date]]-Table1[[#This Row],[order_date]] &gt;=0, TRUE, FALSE)</f>
        <v>1</v>
      </c>
    </row>
    <row r="1310" spans="1:11" x14ac:dyDescent="0.2">
      <c r="A1310" t="s">
        <v>2780</v>
      </c>
      <c r="B1310" t="s">
        <v>996</v>
      </c>
      <c r="C1310" s="9">
        <v>46071</v>
      </c>
      <c r="D1310" s="9">
        <v>46072</v>
      </c>
      <c r="E1310" t="s">
        <v>22</v>
      </c>
      <c r="F1310" t="s">
        <v>532</v>
      </c>
      <c r="G1310">
        <v>24</v>
      </c>
      <c r="H1310">
        <v>119.28</v>
      </c>
      <c r="I1310" t="s">
        <v>956</v>
      </c>
      <c r="K1310" t="b">
        <f>IF(Table1[[#This Row],[dispatch_date]]-Table1[[#This Row],[order_date]] &gt;=0, TRUE, FALSE)</f>
        <v>1</v>
      </c>
    </row>
    <row r="1311" spans="1:11" x14ac:dyDescent="0.2">
      <c r="A1311" t="s">
        <v>1289</v>
      </c>
      <c r="B1311" t="s">
        <v>1290</v>
      </c>
      <c r="C1311" s="9">
        <v>46072</v>
      </c>
      <c r="D1311" s="9">
        <v>46073</v>
      </c>
      <c r="E1311" t="s">
        <v>22</v>
      </c>
      <c r="F1311" t="s">
        <v>753</v>
      </c>
      <c r="G1311">
        <v>24</v>
      </c>
      <c r="H1311">
        <v>119.28</v>
      </c>
      <c r="I1311" t="s">
        <v>1079</v>
      </c>
      <c r="J1311" t="s">
        <v>3137</v>
      </c>
      <c r="K1311" t="b">
        <f>IF(Table1[[#This Row],[dispatch_date]]-Table1[[#This Row],[order_date]] &gt;=0, TRUE, FALSE)</f>
        <v>1</v>
      </c>
    </row>
    <row r="1312" spans="1:11" x14ac:dyDescent="0.2">
      <c r="A1312" t="s">
        <v>1796</v>
      </c>
      <c r="B1312" t="s">
        <v>1049</v>
      </c>
      <c r="C1312" s="9">
        <v>46072</v>
      </c>
      <c r="D1312" s="9">
        <v>46075</v>
      </c>
      <c r="E1312" t="s">
        <v>58</v>
      </c>
      <c r="F1312" t="s">
        <v>235</v>
      </c>
      <c r="G1312">
        <v>12</v>
      </c>
      <c r="H1312">
        <v>75.599999999999994</v>
      </c>
      <c r="I1312" t="s">
        <v>938</v>
      </c>
      <c r="K1312" t="b">
        <f>IF(Table1[[#This Row],[dispatch_date]]-Table1[[#This Row],[order_date]] &gt;=0, TRUE, FALSE)</f>
        <v>1</v>
      </c>
    </row>
    <row r="1313" spans="1:11" x14ac:dyDescent="0.2">
      <c r="A1313" t="s">
        <v>2052</v>
      </c>
      <c r="B1313" t="s">
        <v>1061</v>
      </c>
      <c r="C1313" s="9">
        <v>46072</v>
      </c>
      <c r="D1313" s="9">
        <v>46072</v>
      </c>
      <c r="E1313" t="s">
        <v>114</v>
      </c>
      <c r="F1313" t="s">
        <v>471</v>
      </c>
      <c r="G1313">
        <v>6</v>
      </c>
      <c r="H1313">
        <v>28.21</v>
      </c>
      <c r="I1313" t="s">
        <v>912</v>
      </c>
      <c r="K1313" t="b">
        <f>IF(Table1[[#This Row],[dispatch_date]]-Table1[[#This Row],[order_date]] &gt;=0, TRUE, FALSE)</f>
        <v>1</v>
      </c>
    </row>
    <row r="1314" spans="1:11" x14ac:dyDescent="0.2">
      <c r="A1314" t="s">
        <v>1774</v>
      </c>
      <c r="B1314" t="s">
        <v>901</v>
      </c>
      <c r="C1314" s="9">
        <v>46073</v>
      </c>
      <c r="D1314" s="9">
        <v>46074</v>
      </c>
      <c r="E1314" t="s">
        <v>50</v>
      </c>
      <c r="F1314" t="s">
        <v>195</v>
      </c>
      <c r="G1314">
        <v>72</v>
      </c>
      <c r="H1314">
        <v>439.2</v>
      </c>
      <c r="I1314" t="s">
        <v>956</v>
      </c>
      <c r="K1314" t="b">
        <f>IF(Table1[[#This Row],[dispatch_date]]-Table1[[#This Row],[order_date]] &gt;=0, TRUE, FALSE)</f>
        <v>1</v>
      </c>
    </row>
    <row r="1315" spans="1:11" x14ac:dyDescent="0.2">
      <c r="A1315" t="s">
        <v>2442</v>
      </c>
      <c r="B1315" t="s">
        <v>1064</v>
      </c>
      <c r="C1315" s="9">
        <v>46073</v>
      </c>
      <c r="D1315" s="9">
        <v>46076</v>
      </c>
      <c r="E1315" t="s">
        <v>78</v>
      </c>
      <c r="F1315" t="s">
        <v>273</v>
      </c>
      <c r="G1315">
        <v>12</v>
      </c>
      <c r="H1315">
        <v>38.4</v>
      </c>
      <c r="I1315" t="s">
        <v>1079</v>
      </c>
      <c r="K1315" t="b">
        <f>IF(Table1[[#This Row],[dispatch_date]]-Table1[[#This Row],[order_date]] &gt;=0, TRUE, FALSE)</f>
        <v>1</v>
      </c>
    </row>
    <row r="1316" spans="1:11" x14ac:dyDescent="0.2">
      <c r="A1316" t="s">
        <v>1504</v>
      </c>
      <c r="B1316" t="s">
        <v>991</v>
      </c>
      <c r="C1316" s="9">
        <v>46074</v>
      </c>
      <c r="D1316" s="9">
        <v>46076</v>
      </c>
      <c r="E1316" t="s">
        <v>28</v>
      </c>
      <c r="F1316" t="s">
        <v>514</v>
      </c>
      <c r="G1316">
        <v>72</v>
      </c>
      <c r="H1316">
        <v>392.62</v>
      </c>
      <c r="I1316" t="s">
        <v>956</v>
      </c>
      <c r="K1316" t="b">
        <f>IF(Table1[[#This Row],[dispatch_date]]-Table1[[#This Row],[order_date]] &gt;=0, TRUE, FALSE)</f>
        <v>1</v>
      </c>
    </row>
    <row r="1317" spans="1:11" x14ac:dyDescent="0.2">
      <c r="A1317" t="s">
        <v>1519</v>
      </c>
      <c r="B1317" t="s">
        <v>1072</v>
      </c>
      <c r="C1317" s="9">
        <v>46074</v>
      </c>
      <c r="D1317" s="9">
        <v>46077</v>
      </c>
      <c r="E1317" t="s">
        <v>33</v>
      </c>
      <c r="F1317" t="s">
        <v>681</v>
      </c>
      <c r="G1317">
        <v>24</v>
      </c>
      <c r="H1317">
        <v>53.04</v>
      </c>
      <c r="I1317" t="s">
        <v>956</v>
      </c>
      <c r="K1317" t="b">
        <f>IF(Table1[[#This Row],[dispatch_date]]-Table1[[#This Row],[order_date]] &gt;=0, TRUE, FALSE)</f>
        <v>1</v>
      </c>
    </row>
    <row r="1318" spans="1:11" x14ac:dyDescent="0.2">
      <c r="A1318" t="s">
        <v>2477</v>
      </c>
      <c r="B1318" t="s">
        <v>932</v>
      </c>
      <c r="C1318" s="9">
        <v>46074</v>
      </c>
      <c r="D1318" s="9">
        <v>46074</v>
      </c>
      <c r="E1318" t="s">
        <v>56</v>
      </c>
      <c r="F1318" t="s">
        <v>761</v>
      </c>
      <c r="G1318">
        <v>24</v>
      </c>
      <c r="H1318">
        <v>141.12</v>
      </c>
      <c r="I1318" t="s">
        <v>956</v>
      </c>
      <c r="K1318" t="b">
        <f>IF(Table1[[#This Row],[dispatch_date]]-Table1[[#This Row],[order_date]] &gt;=0, TRUE, FALSE)</f>
        <v>1</v>
      </c>
    </row>
    <row r="1319" spans="1:11" x14ac:dyDescent="0.2">
      <c r="A1319" t="s">
        <v>1355</v>
      </c>
      <c r="B1319" t="s">
        <v>1013</v>
      </c>
      <c r="C1319" s="9">
        <v>46075</v>
      </c>
      <c r="D1319" s="9">
        <v>46076</v>
      </c>
      <c r="E1319" t="s">
        <v>38</v>
      </c>
      <c r="F1319" t="s">
        <v>889</v>
      </c>
      <c r="G1319">
        <v>24</v>
      </c>
      <c r="H1319">
        <v>116.28</v>
      </c>
      <c r="I1319" t="s">
        <v>956</v>
      </c>
      <c r="K1319" t="b">
        <f>IF(Table1[[#This Row],[dispatch_date]]-Table1[[#This Row],[order_date]] &gt;=0, TRUE, FALSE)</f>
        <v>1</v>
      </c>
    </row>
    <row r="1320" spans="1:11" x14ac:dyDescent="0.2">
      <c r="A1320" t="s">
        <v>1419</v>
      </c>
      <c r="B1320" t="s">
        <v>1027</v>
      </c>
      <c r="C1320" s="9">
        <v>46075</v>
      </c>
      <c r="D1320" s="9">
        <v>46075</v>
      </c>
      <c r="E1320" t="s">
        <v>80</v>
      </c>
      <c r="G1320">
        <v>36</v>
      </c>
      <c r="H1320">
        <v>203.49</v>
      </c>
      <c r="I1320" t="s">
        <v>916</v>
      </c>
      <c r="K1320" t="b">
        <f>IF(Table1[[#This Row],[dispatch_date]]-Table1[[#This Row],[order_date]] &gt;=0, TRUE, FALSE)</f>
        <v>1</v>
      </c>
    </row>
    <row r="1321" spans="1:11" x14ac:dyDescent="0.2">
      <c r="A1321" t="s">
        <v>1840</v>
      </c>
      <c r="B1321" t="s">
        <v>989</v>
      </c>
      <c r="C1321" s="9">
        <v>46075</v>
      </c>
      <c r="D1321" s="9">
        <v>46077</v>
      </c>
      <c r="E1321" t="s">
        <v>30</v>
      </c>
      <c r="G1321">
        <v>12</v>
      </c>
      <c r="H1321">
        <v>27.36</v>
      </c>
      <c r="I1321" t="s">
        <v>916</v>
      </c>
      <c r="K1321" t="b">
        <f>IF(Table1[[#This Row],[dispatch_date]]-Table1[[#This Row],[order_date]] &gt;=0, TRUE, FALSE)</f>
        <v>1</v>
      </c>
    </row>
    <row r="1322" spans="1:11" x14ac:dyDescent="0.2">
      <c r="A1322" t="s">
        <v>2135</v>
      </c>
      <c r="B1322" t="s">
        <v>973</v>
      </c>
      <c r="C1322" s="9">
        <v>46075</v>
      </c>
      <c r="D1322" s="9"/>
      <c r="E1322" t="s">
        <v>90</v>
      </c>
      <c r="F1322" t="s">
        <v>759</v>
      </c>
      <c r="G1322">
        <v>72</v>
      </c>
      <c r="H1322">
        <v>604.79999999999995</v>
      </c>
      <c r="I1322" t="s">
        <v>956</v>
      </c>
      <c r="K1322" t="b">
        <f>IF(Table1[[#This Row],[dispatch_date]]-Table1[[#This Row],[order_date]] &gt;=0, TRUE, FALSE)</f>
        <v>0</v>
      </c>
    </row>
    <row r="1323" spans="1:11" x14ac:dyDescent="0.2">
      <c r="A1323" t="s">
        <v>2795</v>
      </c>
      <c r="B1323" t="s">
        <v>945</v>
      </c>
      <c r="C1323" s="9">
        <v>46075</v>
      </c>
      <c r="D1323" s="9">
        <v>46077</v>
      </c>
      <c r="E1323" t="s">
        <v>17</v>
      </c>
      <c r="F1323" t="s">
        <v>585</v>
      </c>
      <c r="G1323">
        <v>48</v>
      </c>
      <c r="H1323">
        <v>287.52</v>
      </c>
      <c r="I1323" t="s">
        <v>938</v>
      </c>
      <c r="K1323" t="b">
        <f>IF(Table1[[#This Row],[dispatch_date]]-Table1[[#This Row],[order_date]] &gt;=0, TRUE, FALSE)</f>
        <v>1</v>
      </c>
    </row>
    <row r="1324" spans="1:11" x14ac:dyDescent="0.2">
      <c r="A1324" t="s">
        <v>2845</v>
      </c>
      <c r="B1324" t="s">
        <v>981</v>
      </c>
      <c r="C1324" s="9">
        <v>46075</v>
      </c>
      <c r="D1324" s="9">
        <v>46075</v>
      </c>
      <c r="E1324" t="s">
        <v>95</v>
      </c>
      <c r="F1324" t="s">
        <v>601</v>
      </c>
      <c r="G1324">
        <v>12</v>
      </c>
      <c r="H1324">
        <v>47.28</v>
      </c>
      <c r="I1324" t="s">
        <v>916</v>
      </c>
      <c r="K1324" t="b">
        <f>IF(Table1[[#This Row],[dispatch_date]]-Table1[[#This Row],[order_date]] &gt;=0, TRUE, FALSE)</f>
        <v>1</v>
      </c>
    </row>
    <row r="1325" spans="1:11" x14ac:dyDescent="0.2">
      <c r="A1325" t="s">
        <v>1490</v>
      </c>
      <c r="B1325" t="s">
        <v>993</v>
      </c>
      <c r="C1325" s="9">
        <v>46076</v>
      </c>
      <c r="D1325" s="9">
        <v>46078</v>
      </c>
      <c r="E1325" t="s">
        <v>56</v>
      </c>
      <c r="G1325">
        <v>-24</v>
      </c>
      <c r="H1325">
        <v>35.28</v>
      </c>
      <c r="I1325" t="s">
        <v>938</v>
      </c>
      <c r="J1325" t="s">
        <v>3138</v>
      </c>
      <c r="K1325" t="b">
        <f>IF(Table1[[#This Row],[dispatch_date]]-Table1[[#This Row],[order_date]] &gt;=0, TRUE, FALSE)</f>
        <v>1</v>
      </c>
    </row>
    <row r="1326" spans="1:11" x14ac:dyDescent="0.2">
      <c r="A1326" t="s">
        <v>1593</v>
      </c>
      <c r="B1326" t="s">
        <v>968</v>
      </c>
      <c r="C1326" s="9">
        <v>46076</v>
      </c>
      <c r="D1326" s="9">
        <v>46078</v>
      </c>
      <c r="E1326" t="s">
        <v>95</v>
      </c>
      <c r="F1326" t="s">
        <v>739</v>
      </c>
      <c r="G1326">
        <v>24</v>
      </c>
      <c r="H1326">
        <v>94.56</v>
      </c>
      <c r="I1326" t="s">
        <v>938</v>
      </c>
      <c r="K1326" t="b">
        <f>IF(Table1[[#This Row],[dispatch_date]]-Table1[[#This Row],[order_date]] &gt;=0, TRUE, FALSE)</f>
        <v>1</v>
      </c>
    </row>
    <row r="1327" spans="1:11" x14ac:dyDescent="0.2">
      <c r="A1327" t="s">
        <v>1908</v>
      </c>
      <c r="B1327" t="s">
        <v>1029</v>
      </c>
      <c r="C1327" s="9">
        <v>46076</v>
      </c>
      <c r="D1327" s="9">
        <v>46079</v>
      </c>
      <c r="E1327" t="s">
        <v>44</v>
      </c>
      <c r="F1327" t="s">
        <v>324</v>
      </c>
      <c r="G1327">
        <v>36</v>
      </c>
      <c r="H1327">
        <v>217.8</v>
      </c>
      <c r="I1327" t="s">
        <v>938</v>
      </c>
      <c r="K1327" t="b">
        <f>IF(Table1[[#This Row],[dispatch_date]]-Table1[[#This Row],[order_date]] &gt;=0, TRUE, FALSE)</f>
        <v>1</v>
      </c>
    </row>
    <row r="1328" spans="1:11" x14ac:dyDescent="0.2">
      <c r="A1328" t="s">
        <v>2501</v>
      </c>
      <c r="B1328" t="s">
        <v>1072</v>
      </c>
      <c r="C1328" s="9">
        <v>46076</v>
      </c>
      <c r="D1328" s="9">
        <v>46077</v>
      </c>
      <c r="E1328" t="s">
        <v>69</v>
      </c>
      <c r="F1328" t="s">
        <v>576</v>
      </c>
      <c r="G1328">
        <v>24</v>
      </c>
      <c r="H1328">
        <v>121.75</v>
      </c>
      <c r="I1328" t="s">
        <v>956</v>
      </c>
      <c r="K1328" t="b">
        <f>IF(Table1[[#This Row],[dispatch_date]]-Table1[[#This Row],[order_date]] &gt;=0, TRUE, FALSE)</f>
        <v>1</v>
      </c>
    </row>
    <row r="1329" spans="1:11" x14ac:dyDescent="0.2">
      <c r="A1329" t="s">
        <v>1105</v>
      </c>
      <c r="B1329" t="s">
        <v>1018</v>
      </c>
      <c r="C1329" s="9">
        <v>46077</v>
      </c>
      <c r="D1329" s="9">
        <v>46077</v>
      </c>
      <c r="E1329" t="s">
        <v>36</v>
      </c>
      <c r="F1329" t="s">
        <v>755</v>
      </c>
      <c r="G1329">
        <v>36</v>
      </c>
      <c r="H1329">
        <v>61.56</v>
      </c>
      <c r="I1329" t="s">
        <v>916</v>
      </c>
      <c r="K1329" t="b">
        <f>IF(Table1[[#This Row],[dispatch_date]]-Table1[[#This Row],[order_date]] &gt;=0, TRUE, FALSE)</f>
        <v>1</v>
      </c>
    </row>
    <row r="1330" spans="1:11" x14ac:dyDescent="0.2">
      <c r="A1330" t="s">
        <v>1295</v>
      </c>
      <c r="B1330" t="s">
        <v>1009</v>
      </c>
      <c r="C1330" s="9">
        <v>46077</v>
      </c>
      <c r="D1330" s="9">
        <v>46078</v>
      </c>
      <c r="E1330" t="s">
        <v>118</v>
      </c>
      <c r="F1330" t="s">
        <v>288</v>
      </c>
      <c r="G1330">
        <v>24</v>
      </c>
      <c r="H1330">
        <v>315.36</v>
      </c>
      <c r="I1330" t="s">
        <v>912</v>
      </c>
      <c r="K1330" t="b">
        <f>IF(Table1[[#This Row],[dispatch_date]]-Table1[[#This Row],[order_date]] &gt;=0, TRUE, FALSE)</f>
        <v>1</v>
      </c>
    </row>
    <row r="1331" spans="1:11" x14ac:dyDescent="0.2">
      <c r="A1331" t="s">
        <v>1753</v>
      </c>
      <c r="B1331" t="s">
        <v>1056</v>
      </c>
      <c r="C1331" s="9">
        <v>46077</v>
      </c>
      <c r="D1331" s="9">
        <v>46078</v>
      </c>
      <c r="E1331" t="s">
        <v>63</v>
      </c>
      <c r="F1331" t="s">
        <v>718</v>
      </c>
      <c r="G1331">
        <v>24</v>
      </c>
      <c r="H1331">
        <v>235.2</v>
      </c>
      <c r="I1331" t="s">
        <v>956</v>
      </c>
      <c r="K1331" t="b">
        <f>IF(Table1[[#This Row],[dispatch_date]]-Table1[[#This Row],[order_date]] &gt;=0, TRUE, FALSE)</f>
        <v>1</v>
      </c>
    </row>
    <row r="1332" spans="1:11" x14ac:dyDescent="0.2">
      <c r="A1332" t="s">
        <v>2209</v>
      </c>
      <c r="B1332" t="s">
        <v>962</v>
      </c>
      <c r="C1332" s="9">
        <v>46077</v>
      </c>
      <c r="D1332" s="9">
        <v>46080</v>
      </c>
      <c r="E1332" t="s">
        <v>121</v>
      </c>
      <c r="F1332" t="s">
        <v>498</v>
      </c>
      <c r="G1332">
        <v>24</v>
      </c>
      <c r="H1332">
        <v>308.16000000000003</v>
      </c>
      <c r="I1332" t="s">
        <v>956</v>
      </c>
      <c r="K1332" t="b">
        <f>IF(Table1[[#This Row],[dispatch_date]]-Table1[[#This Row],[order_date]] &gt;=0, TRUE, FALSE)</f>
        <v>1</v>
      </c>
    </row>
    <row r="1333" spans="1:11" x14ac:dyDescent="0.2">
      <c r="A1333" t="s">
        <v>1903</v>
      </c>
      <c r="B1333" t="s">
        <v>983</v>
      </c>
      <c r="C1333" s="9">
        <v>46078</v>
      </c>
      <c r="D1333" s="9">
        <v>46080</v>
      </c>
      <c r="E1333" t="s">
        <v>105</v>
      </c>
      <c r="F1333" t="s">
        <v>423</v>
      </c>
      <c r="G1333">
        <v>36</v>
      </c>
      <c r="H1333">
        <v>214.2</v>
      </c>
      <c r="I1333" t="s">
        <v>916</v>
      </c>
      <c r="K1333" t="b">
        <f>IF(Table1[[#This Row],[dispatch_date]]-Table1[[#This Row],[order_date]] &gt;=0, TRUE, FALSE)</f>
        <v>1</v>
      </c>
    </row>
    <row r="1334" spans="1:11" x14ac:dyDescent="0.2">
      <c r="A1334" t="s">
        <v>2435</v>
      </c>
      <c r="B1334" t="s">
        <v>962</v>
      </c>
      <c r="C1334" s="9">
        <v>46078</v>
      </c>
      <c r="D1334" s="9">
        <v>46080</v>
      </c>
      <c r="E1334" t="s">
        <v>8</v>
      </c>
      <c r="G1334">
        <v>12</v>
      </c>
      <c r="H1334">
        <v>68.739999999999995</v>
      </c>
      <c r="I1334" t="s">
        <v>956</v>
      </c>
      <c r="K1334" t="b">
        <f>IF(Table1[[#This Row],[dispatch_date]]-Table1[[#This Row],[order_date]] &gt;=0, TRUE, FALSE)</f>
        <v>1</v>
      </c>
    </row>
    <row r="1335" spans="1:11" x14ac:dyDescent="0.2">
      <c r="A1335" t="s">
        <v>2722</v>
      </c>
      <c r="B1335" t="s">
        <v>925</v>
      </c>
      <c r="C1335" s="9">
        <v>46078</v>
      </c>
      <c r="D1335" s="9">
        <v>46079</v>
      </c>
      <c r="E1335" t="s">
        <v>110</v>
      </c>
      <c r="F1335" t="s">
        <v>380</v>
      </c>
      <c r="G1335">
        <v>48</v>
      </c>
      <c r="H1335">
        <v>156.96</v>
      </c>
      <c r="I1335" t="s">
        <v>927</v>
      </c>
      <c r="K1335" t="b">
        <f>IF(Table1[[#This Row],[dispatch_date]]-Table1[[#This Row],[order_date]] &gt;=0, TRUE, FALSE)</f>
        <v>1</v>
      </c>
    </row>
    <row r="1336" spans="1:11" x14ac:dyDescent="0.2">
      <c r="A1336" t="s">
        <v>2281</v>
      </c>
      <c r="B1336" t="s">
        <v>979</v>
      </c>
      <c r="C1336" s="9">
        <v>46079</v>
      </c>
      <c r="D1336" s="9">
        <v>46080</v>
      </c>
      <c r="E1336" t="s">
        <v>127</v>
      </c>
      <c r="F1336" t="s">
        <v>483</v>
      </c>
      <c r="G1336">
        <v>72</v>
      </c>
      <c r="H1336">
        <v>295.2</v>
      </c>
      <c r="I1336" t="s">
        <v>927</v>
      </c>
      <c r="K1336" t="b">
        <f>IF(Table1[[#This Row],[dispatch_date]]-Table1[[#This Row],[order_date]] &gt;=0, TRUE, FALSE)</f>
        <v>1</v>
      </c>
    </row>
    <row r="1337" spans="1:11" x14ac:dyDescent="0.2">
      <c r="A1337" t="s">
        <v>2444</v>
      </c>
      <c r="B1337" t="s">
        <v>925</v>
      </c>
      <c r="C1337" s="9">
        <v>46079</v>
      </c>
      <c r="D1337" s="9">
        <v>46080</v>
      </c>
      <c r="E1337" t="s">
        <v>65</v>
      </c>
      <c r="F1337" t="s">
        <v>616</v>
      </c>
      <c r="G1337">
        <v>6</v>
      </c>
      <c r="H1337">
        <v>79.62</v>
      </c>
      <c r="I1337" t="s">
        <v>927</v>
      </c>
      <c r="K1337" t="b">
        <f>IF(Table1[[#This Row],[dispatch_date]]-Table1[[#This Row],[order_date]] &gt;=0, TRUE, FALSE)</f>
        <v>1</v>
      </c>
    </row>
    <row r="1338" spans="1:11" x14ac:dyDescent="0.2">
      <c r="A1338" t="s">
        <v>1688</v>
      </c>
      <c r="B1338" t="s">
        <v>1074</v>
      </c>
      <c r="C1338" s="9">
        <v>46080</v>
      </c>
      <c r="D1338" s="9">
        <v>46081</v>
      </c>
      <c r="E1338" t="s">
        <v>95</v>
      </c>
      <c r="F1338" t="s">
        <v>313</v>
      </c>
      <c r="G1338">
        <v>24</v>
      </c>
      <c r="H1338">
        <v>94.56</v>
      </c>
      <c r="I1338" t="s">
        <v>956</v>
      </c>
      <c r="K1338" t="b">
        <f>IF(Table1[[#This Row],[dispatch_date]]-Table1[[#This Row],[order_date]] &gt;=0, TRUE, FALSE)</f>
        <v>1</v>
      </c>
    </row>
    <row r="1339" spans="1:11" x14ac:dyDescent="0.2">
      <c r="A1339" t="s">
        <v>2179</v>
      </c>
      <c r="B1339" t="s">
        <v>1037</v>
      </c>
      <c r="C1339" s="9">
        <v>46080</v>
      </c>
      <c r="D1339" s="9">
        <v>46082</v>
      </c>
      <c r="E1339" t="s">
        <v>65</v>
      </c>
      <c r="F1339" t="s">
        <v>672</v>
      </c>
      <c r="G1339">
        <v>48</v>
      </c>
      <c r="H1339">
        <v>636.96</v>
      </c>
      <c r="I1339" t="s">
        <v>938</v>
      </c>
      <c r="K1339" t="b">
        <f>IF(Table1[[#This Row],[dispatch_date]]-Table1[[#This Row],[order_date]] &gt;=0, TRUE, FALSE)</f>
        <v>1</v>
      </c>
    </row>
    <row r="1340" spans="1:11" x14ac:dyDescent="0.2">
      <c r="A1340" t="s">
        <v>1162</v>
      </c>
      <c r="B1340" t="s">
        <v>960</v>
      </c>
      <c r="C1340" s="9">
        <v>46081</v>
      </c>
      <c r="D1340" s="9">
        <v>46084</v>
      </c>
      <c r="E1340" t="s">
        <v>30</v>
      </c>
      <c r="F1340" t="s">
        <v>255</v>
      </c>
      <c r="G1340">
        <v>48</v>
      </c>
      <c r="H1340">
        <v>109.44</v>
      </c>
      <c r="I1340" t="s">
        <v>938</v>
      </c>
      <c r="K1340" t="b">
        <f>IF(Table1[[#This Row],[dispatch_date]]-Table1[[#This Row],[order_date]] &gt;=0, TRUE, FALSE)</f>
        <v>1</v>
      </c>
    </row>
    <row r="1341" spans="1:11" x14ac:dyDescent="0.2">
      <c r="A1341" t="s">
        <v>1214</v>
      </c>
      <c r="B1341" t="s">
        <v>1029</v>
      </c>
      <c r="C1341" s="9">
        <v>46081</v>
      </c>
      <c r="D1341" s="9">
        <v>46083</v>
      </c>
      <c r="E1341" t="s">
        <v>105</v>
      </c>
      <c r="G1341">
        <v>6</v>
      </c>
      <c r="H1341">
        <v>35.700000000000003</v>
      </c>
      <c r="I1341" t="s">
        <v>938</v>
      </c>
      <c r="K1341" t="b">
        <f>IF(Table1[[#This Row],[dispatch_date]]-Table1[[#This Row],[order_date]] &gt;=0, TRUE, FALSE)</f>
        <v>1</v>
      </c>
    </row>
    <row r="1342" spans="1:11" x14ac:dyDescent="0.2">
      <c r="A1342" t="s">
        <v>1838</v>
      </c>
      <c r="B1342" t="s">
        <v>993</v>
      </c>
      <c r="C1342" s="9">
        <v>46081</v>
      </c>
      <c r="D1342" s="9">
        <v>46083</v>
      </c>
      <c r="E1342" t="s">
        <v>101</v>
      </c>
      <c r="G1342">
        <v>6</v>
      </c>
      <c r="H1342">
        <v>19.149999999999999</v>
      </c>
      <c r="I1342" t="s">
        <v>938</v>
      </c>
      <c r="K1342" t="b">
        <f>IF(Table1[[#This Row],[dispatch_date]]-Table1[[#This Row],[order_date]] &gt;=0, TRUE, FALSE)</f>
        <v>1</v>
      </c>
    </row>
    <row r="1343" spans="1:11" x14ac:dyDescent="0.2">
      <c r="A1343" t="s">
        <v>2003</v>
      </c>
      <c r="B1343" t="s">
        <v>1067</v>
      </c>
      <c r="C1343" s="9">
        <v>46081</v>
      </c>
      <c r="D1343" s="9">
        <v>46084</v>
      </c>
      <c r="E1343" t="s">
        <v>103</v>
      </c>
      <c r="F1343" t="s">
        <v>581</v>
      </c>
      <c r="G1343">
        <v>48</v>
      </c>
      <c r="H1343">
        <v>346.08</v>
      </c>
      <c r="I1343" t="s">
        <v>956</v>
      </c>
      <c r="K1343" t="b">
        <f>IF(Table1[[#This Row],[dispatch_date]]-Table1[[#This Row],[order_date]] &gt;=0, TRUE, FALSE)</f>
        <v>1</v>
      </c>
    </row>
    <row r="1344" spans="1:11" x14ac:dyDescent="0.2">
      <c r="A1344" t="s">
        <v>2247</v>
      </c>
      <c r="B1344" t="s">
        <v>954</v>
      </c>
      <c r="C1344" s="9">
        <v>46081</v>
      </c>
      <c r="D1344" s="9">
        <v>46081</v>
      </c>
      <c r="E1344" t="s">
        <v>42</v>
      </c>
      <c r="F1344" t="s">
        <v>282</v>
      </c>
      <c r="G1344">
        <v>48</v>
      </c>
      <c r="H1344">
        <v>156.96</v>
      </c>
      <c r="I1344" t="s">
        <v>956</v>
      </c>
      <c r="K1344" t="b">
        <f>IF(Table1[[#This Row],[dispatch_date]]-Table1[[#This Row],[order_date]] &gt;=0, TRUE, FALSE)</f>
        <v>1</v>
      </c>
    </row>
    <row r="1345" spans="1:11" x14ac:dyDescent="0.2">
      <c r="A1345" t="s">
        <v>1537</v>
      </c>
      <c r="B1345" t="s">
        <v>1077</v>
      </c>
      <c r="C1345" s="9">
        <v>46082</v>
      </c>
      <c r="D1345" s="9">
        <v>46083</v>
      </c>
      <c r="E1345" t="s">
        <v>38</v>
      </c>
      <c r="F1345" t="s">
        <v>889</v>
      </c>
      <c r="G1345">
        <v>24</v>
      </c>
      <c r="H1345">
        <v>122.4</v>
      </c>
      <c r="I1345" t="s">
        <v>938</v>
      </c>
      <c r="K1345" t="b">
        <f>IF(Table1[[#This Row],[dispatch_date]]-Table1[[#This Row],[order_date]] &gt;=0, TRUE, FALSE)</f>
        <v>1</v>
      </c>
    </row>
    <row r="1346" spans="1:11" x14ac:dyDescent="0.2">
      <c r="A1346" t="s">
        <v>1763</v>
      </c>
      <c r="B1346" t="s">
        <v>981</v>
      </c>
      <c r="C1346" s="9">
        <v>46082</v>
      </c>
      <c r="D1346" s="9">
        <v>46082</v>
      </c>
      <c r="E1346" t="s">
        <v>129</v>
      </c>
      <c r="F1346" t="s">
        <v>406</v>
      </c>
      <c r="G1346">
        <v>72</v>
      </c>
      <c r="H1346">
        <v>342</v>
      </c>
      <c r="I1346" t="s">
        <v>916</v>
      </c>
      <c r="K1346" t="b">
        <f>IF(Table1[[#This Row],[dispatch_date]]-Table1[[#This Row],[order_date]] &gt;=0, TRUE, FALSE)</f>
        <v>1</v>
      </c>
    </row>
    <row r="1347" spans="1:11" x14ac:dyDescent="0.2">
      <c r="A1347" t="s">
        <v>2151</v>
      </c>
      <c r="B1347" t="s">
        <v>1059</v>
      </c>
      <c r="C1347" s="9">
        <v>46082</v>
      </c>
      <c r="D1347" s="9">
        <v>46084</v>
      </c>
      <c r="E1347" t="s">
        <v>97</v>
      </c>
      <c r="F1347" t="s">
        <v>800</v>
      </c>
      <c r="G1347">
        <v>24</v>
      </c>
      <c r="H1347">
        <v>122.66</v>
      </c>
      <c r="I1347" t="s">
        <v>956</v>
      </c>
      <c r="K1347" t="b">
        <f>IF(Table1[[#This Row],[dispatch_date]]-Table1[[#This Row],[order_date]] &gt;=0, TRUE, FALSE)</f>
        <v>1</v>
      </c>
    </row>
    <row r="1348" spans="1:11" x14ac:dyDescent="0.2">
      <c r="A1348" t="s">
        <v>2314</v>
      </c>
      <c r="B1348" t="s">
        <v>1052</v>
      </c>
      <c r="C1348" s="9">
        <v>46025</v>
      </c>
      <c r="D1348" s="9">
        <v>46026</v>
      </c>
      <c r="E1348" t="s">
        <v>44</v>
      </c>
      <c r="F1348" t="s">
        <v>349</v>
      </c>
      <c r="G1348">
        <v>24</v>
      </c>
      <c r="H1348">
        <v>137.94</v>
      </c>
      <c r="I1348" t="s">
        <v>956</v>
      </c>
      <c r="J1348" t="s">
        <v>3134</v>
      </c>
      <c r="K1348" t="b">
        <f>IF(Table1[[#This Row],[dispatch_date]]-Table1[[#This Row],[order_date]] &gt;=0, TRUE, FALSE)</f>
        <v>1</v>
      </c>
    </row>
    <row r="1349" spans="1:11" x14ac:dyDescent="0.2">
      <c r="A1349" t="s">
        <v>1976</v>
      </c>
      <c r="B1349" t="s">
        <v>1029</v>
      </c>
      <c r="C1349" s="9">
        <v>46083</v>
      </c>
      <c r="D1349" s="9">
        <v>46083</v>
      </c>
      <c r="E1349" t="s">
        <v>33</v>
      </c>
      <c r="G1349">
        <v>36</v>
      </c>
      <c r="H1349">
        <v>79.56</v>
      </c>
      <c r="I1349" t="s">
        <v>938</v>
      </c>
      <c r="K1349" t="b">
        <f>IF(Table1[[#This Row],[dispatch_date]]-Table1[[#This Row],[order_date]] &gt;=0, TRUE, FALSE)</f>
        <v>1</v>
      </c>
    </row>
    <row r="1350" spans="1:11" x14ac:dyDescent="0.2">
      <c r="A1350" t="s">
        <v>2645</v>
      </c>
      <c r="B1350" t="s">
        <v>932</v>
      </c>
      <c r="C1350" s="9">
        <v>46083</v>
      </c>
      <c r="D1350" s="9">
        <v>46084</v>
      </c>
      <c r="E1350" t="s">
        <v>17</v>
      </c>
      <c r="F1350" t="s">
        <v>307</v>
      </c>
      <c r="G1350">
        <v>24</v>
      </c>
      <c r="H1350">
        <v>143.76</v>
      </c>
      <c r="I1350" t="s">
        <v>956</v>
      </c>
      <c r="K1350" t="b">
        <f>IF(Table1[[#This Row],[dispatch_date]]-Table1[[#This Row],[order_date]] &gt;=0, TRUE, FALSE)</f>
        <v>1</v>
      </c>
    </row>
    <row r="1351" spans="1:11" x14ac:dyDescent="0.2">
      <c r="A1351" t="s">
        <v>1696</v>
      </c>
      <c r="B1351" t="s">
        <v>993</v>
      </c>
      <c r="C1351" s="9">
        <v>46084</v>
      </c>
      <c r="D1351" s="9">
        <v>46086</v>
      </c>
      <c r="E1351" t="s">
        <v>123</v>
      </c>
      <c r="F1351" t="s">
        <v>721</v>
      </c>
      <c r="G1351">
        <v>36</v>
      </c>
      <c r="H1351">
        <v>251.64</v>
      </c>
      <c r="I1351" t="s">
        <v>938</v>
      </c>
      <c r="K1351" t="b">
        <f>IF(Table1[[#This Row],[dispatch_date]]-Table1[[#This Row],[order_date]] &gt;=0, TRUE, FALSE)</f>
        <v>1</v>
      </c>
    </row>
    <row r="1352" spans="1:11" x14ac:dyDescent="0.2">
      <c r="A1352" t="s">
        <v>2817</v>
      </c>
      <c r="B1352" t="s">
        <v>1031</v>
      </c>
      <c r="C1352" s="9">
        <v>46084</v>
      </c>
      <c r="D1352" s="9">
        <v>46087</v>
      </c>
      <c r="E1352" t="s">
        <v>44</v>
      </c>
      <c r="F1352" t="s">
        <v>426</v>
      </c>
      <c r="G1352">
        <v>48</v>
      </c>
      <c r="H1352">
        <v>275.88</v>
      </c>
      <c r="I1352" t="s">
        <v>956</v>
      </c>
      <c r="K1352" t="b">
        <f>IF(Table1[[#This Row],[dispatch_date]]-Table1[[#This Row],[order_date]] &gt;=0, TRUE, FALSE)</f>
        <v>1</v>
      </c>
    </row>
    <row r="1353" spans="1:11" x14ac:dyDescent="0.2">
      <c r="A1353" t="s">
        <v>1921</v>
      </c>
      <c r="B1353" t="s">
        <v>998</v>
      </c>
      <c r="C1353" s="9">
        <v>46085</v>
      </c>
      <c r="D1353" s="9">
        <v>46086</v>
      </c>
      <c r="E1353" t="s">
        <v>127</v>
      </c>
      <c r="F1353" t="s">
        <v>483</v>
      </c>
      <c r="G1353">
        <v>12</v>
      </c>
      <c r="H1353">
        <v>46.74</v>
      </c>
      <c r="I1353" t="s">
        <v>938</v>
      </c>
      <c r="K1353" t="b">
        <f>IF(Table1[[#This Row],[dispatch_date]]-Table1[[#This Row],[order_date]] &gt;=0, TRUE, FALSE)</f>
        <v>1</v>
      </c>
    </row>
    <row r="1354" spans="1:11" x14ac:dyDescent="0.2">
      <c r="A1354" t="s">
        <v>2142</v>
      </c>
      <c r="B1354" t="s">
        <v>1004</v>
      </c>
      <c r="C1354" s="9">
        <v>46085</v>
      </c>
      <c r="D1354" s="9">
        <v>46086</v>
      </c>
      <c r="E1354" t="s">
        <v>90</v>
      </c>
      <c r="F1354" t="s">
        <v>716</v>
      </c>
      <c r="G1354">
        <v>36</v>
      </c>
      <c r="H1354">
        <v>302.39999999999998</v>
      </c>
      <c r="I1354" t="s">
        <v>927</v>
      </c>
      <c r="K1354" t="b">
        <f>IF(Table1[[#This Row],[dispatch_date]]-Table1[[#This Row],[order_date]] &gt;=0, TRUE, FALSE)</f>
        <v>1</v>
      </c>
    </row>
    <row r="1355" spans="1:11" x14ac:dyDescent="0.2">
      <c r="A1355" t="s">
        <v>2188</v>
      </c>
      <c r="B1355" t="s">
        <v>939</v>
      </c>
      <c r="C1355" s="9">
        <v>46085</v>
      </c>
      <c r="D1355" s="9">
        <v>46087</v>
      </c>
      <c r="E1355" t="s">
        <v>78</v>
      </c>
      <c r="F1355" t="s">
        <v>273</v>
      </c>
      <c r="G1355">
        <v>36</v>
      </c>
      <c r="H1355">
        <v>115.2</v>
      </c>
      <c r="I1355" t="s">
        <v>916</v>
      </c>
      <c r="K1355" t="b">
        <f>IF(Table1[[#This Row],[dispatch_date]]-Table1[[#This Row],[order_date]] &gt;=0, TRUE, FALSE)</f>
        <v>1</v>
      </c>
    </row>
    <row r="1356" spans="1:11" x14ac:dyDescent="0.2">
      <c r="A1356" t="s">
        <v>2418</v>
      </c>
      <c r="B1356" t="s">
        <v>1059</v>
      </c>
      <c r="C1356" s="9">
        <v>46085</v>
      </c>
      <c r="D1356" s="9">
        <v>46086</v>
      </c>
      <c r="E1356" t="s">
        <v>110</v>
      </c>
      <c r="F1356" t="s">
        <v>380</v>
      </c>
      <c r="G1356">
        <v>72</v>
      </c>
      <c r="H1356">
        <v>223.67</v>
      </c>
      <c r="I1356" t="s">
        <v>956</v>
      </c>
      <c r="K1356" t="b">
        <f>IF(Table1[[#This Row],[dispatch_date]]-Table1[[#This Row],[order_date]] &gt;=0, TRUE, FALSE)</f>
        <v>1</v>
      </c>
    </row>
    <row r="1357" spans="1:11" x14ac:dyDescent="0.2">
      <c r="A1357" t="s">
        <v>2502</v>
      </c>
      <c r="B1357" t="s">
        <v>1061</v>
      </c>
      <c r="C1357" s="9">
        <v>46085</v>
      </c>
      <c r="D1357" s="9">
        <v>46085</v>
      </c>
      <c r="E1357" t="s">
        <v>14</v>
      </c>
      <c r="F1357" t="s">
        <v>621</v>
      </c>
      <c r="G1357">
        <v>12</v>
      </c>
      <c r="H1357">
        <v>43.8</v>
      </c>
      <c r="I1357" t="s">
        <v>1079</v>
      </c>
      <c r="K1357" t="b">
        <f>IF(Table1[[#This Row],[dispatch_date]]-Table1[[#This Row],[order_date]] &gt;=0, TRUE, FALSE)</f>
        <v>1</v>
      </c>
    </row>
    <row r="1358" spans="1:11" x14ac:dyDescent="0.2">
      <c r="A1358" t="s">
        <v>2530</v>
      </c>
      <c r="B1358" t="s">
        <v>993</v>
      </c>
      <c r="C1358" s="9">
        <v>46085</v>
      </c>
      <c r="D1358" s="9">
        <v>46088</v>
      </c>
      <c r="E1358" t="s">
        <v>114</v>
      </c>
      <c r="F1358" t="s">
        <v>814</v>
      </c>
      <c r="G1358">
        <v>12</v>
      </c>
      <c r="H1358">
        <v>59.4</v>
      </c>
      <c r="I1358" t="s">
        <v>938</v>
      </c>
      <c r="K1358" t="b">
        <f>IF(Table1[[#This Row],[dispatch_date]]-Table1[[#This Row],[order_date]] &gt;=0, TRUE, FALSE)</f>
        <v>1</v>
      </c>
    </row>
    <row r="1359" spans="1:11" x14ac:dyDescent="0.2">
      <c r="A1359" t="s">
        <v>1351</v>
      </c>
      <c r="B1359" t="s">
        <v>965</v>
      </c>
      <c r="C1359" s="9">
        <v>46086</v>
      </c>
      <c r="D1359" s="9">
        <v>46089</v>
      </c>
      <c r="E1359" t="s">
        <v>71</v>
      </c>
      <c r="F1359" t="s">
        <v>782</v>
      </c>
      <c r="G1359">
        <v>6</v>
      </c>
      <c r="H1359">
        <v>57.06</v>
      </c>
      <c r="I1359" t="s">
        <v>956</v>
      </c>
      <c r="K1359" t="b">
        <f>IF(Table1[[#This Row],[dispatch_date]]-Table1[[#This Row],[order_date]] &gt;=0, TRUE, FALSE)</f>
        <v>1</v>
      </c>
    </row>
    <row r="1360" spans="1:11" x14ac:dyDescent="0.2">
      <c r="A1360" t="s">
        <v>1367</v>
      </c>
      <c r="B1360" t="s">
        <v>1016</v>
      </c>
      <c r="C1360" s="9">
        <v>46086</v>
      </c>
      <c r="D1360" s="9"/>
      <c r="E1360" t="s">
        <v>33</v>
      </c>
      <c r="F1360" t="s">
        <v>226</v>
      </c>
      <c r="G1360">
        <v>12</v>
      </c>
      <c r="H1360">
        <v>26.52</v>
      </c>
      <c r="I1360" t="s">
        <v>912</v>
      </c>
      <c r="K1360" t="b">
        <f>IF(Table1[[#This Row],[dispatch_date]]-Table1[[#This Row],[order_date]] &gt;=0, TRUE, FALSE)</f>
        <v>0</v>
      </c>
    </row>
    <row r="1361" spans="1:11" x14ac:dyDescent="0.2">
      <c r="A1361" t="s">
        <v>1731</v>
      </c>
      <c r="B1361" t="s">
        <v>962</v>
      </c>
      <c r="C1361" s="9">
        <v>46086</v>
      </c>
      <c r="D1361" s="9"/>
      <c r="E1361" t="s">
        <v>71</v>
      </c>
      <c r="G1361">
        <v>6</v>
      </c>
      <c r="H1361">
        <v>57.06</v>
      </c>
      <c r="I1361" t="s">
        <v>956</v>
      </c>
      <c r="K1361" t="b">
        <f>IF(Table1[[#This Row],[dispatch_date]]-Table1[[#This Row],[order_date]] &gt;=0, TRUE, FALSE)</f>
        <v>0</v>
      </c>
    </row>
    <row r="1362" spans="1:11" x14ac:dyDescent="0.2">
      <c r="A1362" t="s">
        <v>2343</v>
      </c>
      <c r="B1362" t="s">
        <v>939</v>
      </c>
      <c r="C1362" s="9">
        <v>46086</v>
      </c>
      <c r="D1362" s="9">
        <v>46087</v>
      </c>
      <c r="E1362" t="s">
        <v>44</v>
      </c>
      <c r="F1362" t="s">
        <v>426</v>
      </c>
      <c r="G1362">
        <v>24</v>
      </c>
      <c r="H1362">
        <v>145.19999999999999</v>
      </c>
      <c r="I1362" t="s">
        <v>916</v>
      </c>
      <c r="K1362" t="b">
        <f>IF(Table1[[#This Row],[dispatch_date]]-Table1[[#This Row],[order_date]] &gt;=0, TRUE, FALSE)</f>
        <v>1</v>
      </c>
    </row>
    <row r="1363" spans="1:11" x14ac:dyDescent="0.2">
      <c r="A1363" t="s">
        <v>2411</v>
      </c>
      <c r="B1363" t="s">
        <v>1001</v>
      </c>
      <c r="C1363" s="9">
        <v>46086</v>
      </c>
      <c r="D1363" s="9">
        <v>46089</v>
      </c>
      <c r="E1363" t="s">
        <v>69</v>
      </c>
      <c r="F1363" t="s">
        <v>576</v>
      </c>
      <c r="G1363">
        <v>12</v>
      </c>
      <c r="H1363">
        <v>64.08</v>
      </c>
      <c r="I1363" t="s">
        <v>916</v>
      </c>
      <c r="K1363" t="b">
        <f>IF(Table1[[#This Row],[dispatch_date]]-Table1[[#This Row],[order_date]] &gt;=0, TRUE, FALSE)</f>
        <v>1</v>
      </c>
    </row>
    <row r="1364" spans="1:11" x14ac:dyDescent="0.2">
      <c r="A1364" t="s">
        <v>1539</v>
      </c>
      <c r="B1364" t="s">
        <v>1034</v>
      </c>
      <c r="C1364" s="9">
        <v>46087</v>
      </c>
      <c r="D1364" s="9">
        <v>46088</v>
      </c>
      <c r="E1364" t="s">
        <v>129</v>
      </c>
      <c r="G1364">
        <v>72</v>
      </c>
      <c r="H1364">
        <v>342</v>
      </c>
      <c r="I1364" t="s">
        <v>938</v>
      </c>
      <c r="K1364" t="b">
        <f>IF(Table1[[#This Row],[dispatch_date]]-Table1[[#This Row],[order_date]] &gt;=0, TRUE, FALSE)</f>
        <v>1</v>
      </c>
    </row>
    <row r="1365" spans="1:11" x14ac:dyDescent="0.2">
      <c r="A1365" t="s">
        <v>2849</v>
      </c>
      <c r="B1365" t="s">
        <v>939</v>
      </c>
      <c r="C1365" s="9">
        <v>46087</v>
      </c>
      <c r="D1365" s="9">
        <v>46087</v>
      </c>
      <c r="E1365" t="s">
        <v>101</v>
      </c>
      <c r="F1365" t="s">
        <v>573</v>
      </c>
      <c r="G1365">
        <v>24</v>
      </c>
      <c r="H1365">
        <v>80.64</v>
      </c>
      <c r="I1365" t="s">
        <v>916</v>
      </c>
      <c r="K1365" t="b">
        <f>IF(Table1[[#This Row],[dispatch_date]]-Table1[[#This Row],[order_date]] &gt;=0, TRUE, FALSE)</f>
        <v>1</v>
      </c>
    </row>
    <row r="1366" spans="1:11" x14ac:dyDescent="0.2">
      <c r="A1366" t="s">
        <v>1363</v>
      </c>
      <c r="B1366" t="s">
        <v>973</v>
      </c>
      <c r="C1366" s="9">
        <v>46088</v>
      </c>
      <c r="D1366" s="9">
        <v>46090</v>
      </c>
      <c r="E1366" t="s">
        <v>121</v>
      </c>
      <c r="F1366" t="s">
        <v>493</v>
      </c>
      <c r="G1366">
        <v>6</v>
      </c>
      <c r="H1366">
        <v>77.040000000000006</v>
      </c>
      <c r="I1366" t="s">
        <v>1079</v>
      </c>
      <c r="K1366" t="b">
        <f>IF(Table1[[#This Row],[dispatch_date]]-Table1[[#This Row],[order_date]] &gt;=0, TRUE, FALSE)</f>
        <v>1</v>
      </c>
    </row>
    <row r="1367" spans="1:11" x14ac:dyDescent="0.2">
      <c r="A1367" t="s">
        <v>1693</v>
      </c>
      <c r="B1367" t="s">
        <v>1031</v>
      </c>
      <c r="C1367" s="9">
        <v>46088</v>
      </c>
      <c r="D1367" s="9">
        <v>46088</v>
      </c>
      <c r="E1367" t="s">
        <v>48</v>
      </c>
      <c r="F1367" t="s">
        <v>624</v>
      </c>
      <c r="G1367">
        <v>12</v>
      </c>
      <c r="H1367">
        <v>80.88</v>
      </c>
      <c r="I1367" t="s">
        <v>956</v>
      </c>
      <c r="K1367" t="b">
        <f>IF(Table1[[#This Row],[dispatch_date]]-Table1[[#This Row],[order_date]] &gt;=0, TRUE, FALSE)</f>
        <v>1</v>
      </c>
    </row>
    <row r="1368" spans="1:11" x14ac:dyDescent="0.2">
      <c r="A1368" t="s">
        <v>2035</v>
      </c>
      <c r="B1368" t="s">
        <v>1077</v>
      </c>
      <c r="C1368" s="9">
        <v>46206</v>
      </c>
      <c r="D1368" s="9">
        <v>46209</v>
      </c>
      <c r="E1368" t="s">
        <v>52</v>
      </c>
      <c r="G1368">
        <v>6</v>
      </c>
      <c r="H1368">
        <v>29.58</v>
      </c>
      <c r="I1368" t="s">
        <v>1079</v>
      </c>
      <c r="K1368" t="b">
        <f>IF(Table1[[#This Row],[dispatch_date]]-Table1[[#This Row],[order_date]] &gt;=0, TRUE, FALSE)</f>
        <v>1</v>
      </c>
    </row>
    <row r="1369" spans="1:11" x14ac:dyDescent="0.2">
      <c r="A1369" t="s">
        <v>1429</v>
      </c>
      <c r="B1369" t="s">
        <v>971</v>
      </c>
      <c r="C1369" s="9">
        <v>46089</v>
      </c>
      <c r="D1369" s="9">
        <v>46091</v>
      </c>
      <c r="E1369" t="s">
        <v>121</v>
      </c>
      <c r="F1369" t="s">
        <v>493</v>
      </c>
      <c r="G1369">
        <v>36</v>
      </c>
      <c r="H1369">
        <v>462.24</v>
      </c>
      <c r="I1369" t="s">
        <v>956</v>
      </c>
      <c r="K1369" t="b">
        <f>IF(Table1[[#This Row],[dispatch_date]]-Table1[[#This Row],[order_date]] &gt;=0, TRUE, FALSE)</f>
        <v>1</v>
      </c>
    </row>
    <row r="1370" spans="1:11" x14ac:dyDescent="0.2">
      <c r="A1370" t="s">
        <v>1730</v>
      </c>
      <c r="B1370" t="s">
        <v>1016</v>
      </c>
      <c r="C1370" s="9">
        <v>46089</v>
      </c>
      <c r="D1370" s="9">
        <v>46092</v>
      </c>
      <c r="E1370" t="s">
        <v>84</v>
      </c>
      <c r="G1370">
        <v>72</v>
      </c>
      <c r="H1370">
        <v>160.56</v>
      </c>
      <c r="I1370" t="s">
        <v>912</v>
      </c>
      <c r="K1370" t="b">
        <f>IF(Table1[[#This Row],[dispatch_date]]-Table1[[#This Row],[order_date]] &gt;=0, TRUE, FALSE)</f>
        <v>1</v>
      </c>
    </row>
    <row r="1371" spans="1:11" x14ac:dyDescent="0.2">
      <c r="A1371" t="s">
        <v>1894</v>
      </c>
      <c r="B1371" t="s">
        <v>973</v>
      </c>
      <c r="C1371" s="9">
        <v>46089</v>
      </c>
      <c r="D1371" s="9">
        <v>46090</v>
      </c>
      <c r="E1371" t="s">
        <v>17</v>
      </c>
      <c r="F1371" t="s">
        <v>568</v>
      </c>
      <c r="G1371">
        <v>48</v>
      </c>
      <c r="H1371">
        <v>287.52</v>
      </c>
      <c r="I1371" t="s">
        <v>1079</v>
      </c>
      <c r="K1371" t="b">
        <f>IF(Table1[[#This Row],[dispatch_date]]-Table1[[#This Row],[order_date]] &gt;=0, TRUE, FALSE)</f>
        <v>1</v>
      </c>
    </row>
    <row r="1372" spans="1:11" x14ac:dyDescent="0.2">
      <c r="A1372" t="s">
        <v>1913</v>
      </c>
      <c r="B1372" t="s">
        <v>968</v>
      </c>
      <c r="C1372" s="9">
        <v>46089</v>
      </c>
      <c r="D1372" s="9">
        <v>46092</v>
      </c>
      <c r="E1372" t="s">
        <v>52</v>
      </c>
      <c r="F1372" t="s">
        <v>796</v>
      </c>
      <c r="G1372">
        <v>72</v>
      </c>
      <c r="H1372">
        <v>337.21</v>
      </c>
      <c r="I1372" t="s">
        <v>938</v>
      </c>
      <c r="K1372" t="b">
        <f>IF(Table1[[#This Row],[dispatch_date]]-Table1[[#This Row],[order_date]] &gt;=0, TRUE, FALSE)</f>
        <v>1</v>
      </c>
    </row>
    <row r="1373" spans="1:11" x14ac:dyDescent="0.2">
      <c r="A1373" t="s">
        <v>2495</v>
      </c>
      <c r="B1373" t="s">
        <v>1037</v>
      </c>
      <c r="C1373" s="9">
        <v>46089</v>
      </c>
      <c r="D1373" s="9">
        <v>46090</v>
      </c>
      <c r="E1373" t="s">
        <v>8</v>
      </c>
      <c r="F1373" t="s">
        <v>473</v>
      </c>
      <c r="G1373">
        <v>72</v>
      </c>
      <c r="H1373">
        <v>412.45</v>
      </c>
      <c r="I1373" t="s">
        <v>938</v>
      </c>
      <c r="K1373" t="b">
        <f>IF(Table1[[#This Row],[dispatch_date]]-Table1[[#This Row],[order_date]] &gt;=0, TRUE, FALSE)</f>
        <v>1</v>
      </c>
    </row>
    <row r="1374" spans="1:11" x14ac:dyDescent="0.2">
      <c r="A1374" t="s">
        <v>2814</v>
      </c>
      <c r="B1374" t="s">
        <v>998</v>
      </c>
      <c r="C1374" s="9">
        <v>46089</v>
      </c>
      <c r="D1374" s="9">
        <v>46090</v>
      </c>
      <c r="E1374" t="s">
        <v>88</v>
      </c>
      <c r="F1374" t="s">
        <v>430</v>
      </c>
      <c r="G1374">
        <v>24</v>
      </c>
      <c r="H1374">
        <v>99.12</v>
      </c>
      <c r="I1374" t="s">
        <v>938</v>
      </c>
      <c r="K1374" t="b">
        <f>IF(Table1[[#This Row],[dispatch_date]]-Table1[[#This Row],[order_date]] &gt;=0, TRUE, FALSE)</f>
        <v>1</v>
      </c>
    </row>
    <row r="1375" spans="1:11" x14ac:dyDescent="0.2">
      <c r="A1375" t="s">
        <v>1230</v>
      </c>
      <c r="B1375" t="s">
        <v>960</v>
      </c>
      <c r="C1375" s="9">
        <v>46090</v>
      </c>
      <c r="D1375" s="9">
        <v>46093</v>
      </c>
      <c r="E1375" t="s">
        <v>93</v>
      </c>
      <c r="F1375" t="s">
        <v>853</v>
      </c>
      <c r="G1375">
        <v>48</v>
      </c>
      <c r="H1375">
        <v>133.91999999999999</v>
      </c>
      <c r="I1375" t="s">
        <v>938</v>
      </c>
      <c r="K1375" t="b">
        <f>IF(Table1[[#This Row],[dispatch_date]]-Table1[[#This Row],[order_date]] &gt;=0, TRUE, FALSE)</f>
        <v>1</v>
      </c>
    </row>
    <row r="1376" spans="1:11" x14ac:dyDescent="0.2">
      <c r="A1376" t="s">
        <v>1164</v>
      </c>
      <c r="B1376" t="s">
        <v>1060</v>
      </c>
      <c r="C1376" s="9">
        <v>46091</v>
      </c>
      <c r="D1376" s="9">
        <v>46094</v>
      </c>
      <c r="E1376" t="s">
        <v>67</v>
      </c>
      <c r="F1376" t="s">
        <v>398</v>
      </c>
      <c r="G1376">
        <v>36</v>
      </c>
      <c r="H1376">
        <v>190.8</v>
      </c>
      <c r="I1376" t="s">
        <v>956</v>
      </c>
      <c r="K1376" t="b">
        <f>IF(Table1[[#This Row],[dispatch_date]]-Table1[[#This Row],[order_date]] &gt;=0, TRUE, FALSE)</f>
        <v>1</v>
      </c>
    </row>
    <row r="1377" spans="1:11" x14ac:dyDescent="0.2">
      <c r="A1377" t="s">
        <v>2291</v>
      </c>
      <c r="B1377" t="s">
        <v>998</v>
      </c>
      <c r="C1377" s="9">
        <v>46091</v>
      </c>
      <c r="D1377" s="9">
        <v>46094</v>
      </c>
      <c r="E1377" t="s">
        <v>101</v>
      </c>
      <c r="G1377">
        <v>24</v>
      </c>
      <c r="H1377">
        <v>80.64</v>
      </c>
      <c r="I1377" t="s">
        <v>938</v>
      </c>
      <c r="K1377" t="b">
        <f>IF(Table1[[#This Row],[dispatch_date]]-Table1[[#This Row],[order_date]] &gt;=0, TRUE, FALSE)</f>
        <v>1</v>
      </c>
    </row>
    <row r="1378" spans="1:11" x14ac:dyDescent="0.2">
      <c r="A1378" t="s">
        <v>2425</v>
      </c>
      <c r="B1378" t="s">
        <v>1013</v>
      </c>
      <c r="C1378" s="9">
        <v>46091</v>
      </c>
      <c r="D1378" s="9">
        <v>46091</v>
      </c>
      <c r="E1378" t="s">
        <v>105</v>
      </c>
      <c r="F1378" t="s">
        <v>579</v>
      </c>
      <c r="G1378">
        <v>6</v>
      </c>
      <c r="H1378">
        <v>35.700000000000003</v>
      </c>
      <c r="I1378" t="s">
        <v>912</v>
      </c>
      <c r="K1378" t="b">
        <f>IF(Table1[[#This Row],[dispatch_date]]-Table1[[#This Row],[order_date]] &gt;=0, TRUE, FALSE)</f>
        <v>1</v>
      </c>
    </row>
    <row r="1379" spans="1:11" x14ac:dyDescent="0.2">
      <c r="A1379" t="s">
        <v>2836</v>
      </c>
      <c r="B1379" t="s">
        <v>1049</v>
      </c>
      <c r="C1379" s="9">
        <v>46091</v>
      </c>
      <c r="D1379" s="9">
        <v>46092</v>
      </c>
      <c r="E1379" t="s">
        <v>48</v>
      </c>
      <c r="F1379" t="s">
        <v>629</v>
      </c>
      <c r="G1379">
        <v>24</v>
      </c>
      <c r="H1379">
        <v>161.76</v>
      </c>
      <c r="I1379" t="s">
        <v>938</v>
      </c>
      <c r="K1379" t="b">
        <f>IF(Table1[[#This Row],[dispatch_date]]-Table1[[#This Row],[order_date]] &gt;=0, TRUE, FALSE)</f>
        <v>1</v>
      </c>
    </row>
    <row r="1380" spans="1:11" x14ac:dyDescent="0.2">
      <c r="A1380" t="s">
        <v>1609</v>
      </c>
      <c r="B1380" t="s">
        <v>1074</v>
      </c>
      <c r="C1380" s="9">
        <v>46092</v>
      </c>
      <c r="D1380" s="9">
        <v>46095</v>
      </c>
      <c r="E1380" t="s">
        <v>90</v>
      </c>
      <c r="F1380" t="s">
        <v>716</v>
      </c>
      <c r="G1380">
        <v>36</v>
      </c>
      <c r="H1380">
        <v>302.39999999999998</v>
      </c>
      <c r="I1380" t="s">
        <v>916</v>
      </c>
      <c r="K1380" t="b">
        <f>IF(Table1[[#This Row],[dispatch_date]]-Table1[[#This Row],[order_date]] &gt;=0, TRUE, FALSE)</f>
        <v>1</v>
      </c>
    </row>
    <row r="1381" spans="1:11" x14ac:dyDescent="0.2">
      <c r="A1381" t="s">
        <v>1766</v>
      </c>
      <c r="B1381" t="s">
        <v>989</v>
      </c>
      <c r="C1381" s="9">
        <v>46092</v>
      </c>
      <c r="D1381" s="9"/>
      <c r="E1381" t="s">
        <v>58</v>
      </c>
      <c r="F1381" t="s">
        <v>590</v>
      </c>
      <c r="G1381">
        <v>72</v>
      </c>
      <c r="H1381">
        <v>453.6</v>
      </c>
      <c r="I1381" t="s">
        <v>916</v>
      </c>
      <c r="K1381" t="b">
        <f>IF(Table1[[#This Row],[dispatch_date]]-Table1[[#This Row],[order_date]] &gt;=0, TRUE, FALSE)</f>
        <v>0</v>
      </c>
    </row>
    <row r="1382" spans="1:11" x14ac:dyDescent="0.2">
      <c r="A1382" t="s">
        <v>1919</v>
      </c>
      <c r="B1382" t="s">
        <v>960</v>
      </c>
      <c r="C1382" s="9">
        <v>46092</v>
      </c>
      <c r="D1382" s="9">
        <v>46094</v>
      </c>
      <c r="E1382" t="s">
        <v>129</v>
      </c>
      <c r="F1382" t="s">
        <v>725</v>
      </c>
      <c r="G1382">
        <v>36</v>
      </c>
      <c r="H1382">
        <v>171</v>
      </c>
      <c r="I1382" t="s">
        <v>938</v>
      </c>
      <c r="K1382" t="b">
        <f>IF(Table1[[#This Row],[dispatch_date]]-Table1[[#This Row],[order_date]] &gt;=0, TRUE, FALSE)</f>
        <v>1</v>
      </c>
    </row>
    <row r="1383" spans="1:11" x14ac:dyDescent="0.2">
      <c r="A1383" t="s">
        <v>2078</v>
      </c>
      <c r="B1383" t="s">
        <v>1009</v>
      </c>
      <c r="C1383" s="9">
        <v>46092</v>
      </c>
      <c r="D1383" s="9">
        <v>46093</v>
      </c>
      <c r="E1383" t="s">
        <v>108</v>
      </c>
      <c r="F1383" t="s">
        <v>797</v>
      </c>
      <c r="G1383">
        <v>36</v>
      </c>
      <c r="H1383">
        <v>257.04000000000002</v>
      </c>
      <c r="I1383" t="s">
        <v>912</v>
      </c>
      <c r="K1383" t="b">
        <f>IF(Table1[[#This Row],[dispatch_date]]-Table1[[#This Row],[order_date]] &gt;=0, TRUE, FALSE)</f>
        <v>1</v>
      </c>
    </row>
    <row r="1384" spans="1:11" x14ac:dyDescent="0.2">
      <c r="A1384" t="s">
        <v>2213</v>
      </c>
      <c r="B1384" t="s">
        <v>1004</v>
      </c>
      <c r="C1384" s="9">
        <v>46092</v>
      </c>
      <c r="D1384" s="9">
        <v>46094</v>
      </c>
      <c r="E1384" t="s">
        <v>99</v>
      </c>
      <c r="F1384" t="s">
        <v>595</v>
      </c>
      <c r="G1384">
        <v>6</v>
      </c>
      <c r="H1384">
        <v>42.12</v>
      </c>
      <c r="I1384" t="s">
        <v>927</v>
      </c>
      <c r="K1384" t="b">
        <f>IF(Table1[[#This Row],[dispatch_date]]-Table1[[#This Row],[order_date]] &gt;=0, TRUE, FALSE)</f>
        <v>1</v>
      </c>
    </row>
    <row r="1385" spans="1:11" x14ac:dyDescent="0.2">
      <c r="A1385" t="s">
        <v>2404</v>
      </c>
      <c r="B1385" t="s">
        <v>1060</v>
      </c>
      <c r="C1385" s="9">
        <v>46092</v>
      </c>
      <c r="D1385" s="9">
        <v>46095</v>
      </c>
      <c r="E1385" t="s">
        <v>38</v>
      </c>
      <c r="F1385" t="s">
        <v>889</v>
      </c>
      <c r="G1385">
        <v>12</v>
      </c>
      <c r="H1385">
        <v>61.2</v>
      </c>
      <c r="I1385" t="s">
        <v>956</v>
      </c>
      <c r="K1385" t="b">
        <f>IF(Table1[[#This Row],[dispatch_date]]-Table1[[#This Row],[order_date]] &gt;=0, TRUE, FALSE)</f>
        <v>1</v>
      </c>
    </row>
    <row r="1386" spans="1:11" x14ac:dyDescent="0.2">
      <c r="A1386" t="s">
        <v>1260</v>
      </c>
      <c r="B1386" t="s">
        <v>1049</v>
      </c>
      <c r="C1386" s="9">
        <v>46093</v>
      </c>
      <c r="D1386" s="9">
        <v>46095</v>
      </c>
      <c r="E1386" t="s">
        <v>63</v>
      </c>
      <c r="F1386" t="s">
        <v>608</v>
      </c>
      <c r="G1386">
        <v>6</v>
      </c>
      <c r="H1386">
        <v>55.86</v>
      </c>
      <c r="I1386" t="s">
        <v>938</v>
      </c>
      <c r="K1386" t="b">
        <f>IF(Table1[[#This Row],[dispatch_date]]-Table1[[#This Row],[order_date]] &gt;=0, TRUE, FALSE)</f>
        <v>1</v>
      </c>
    </row>
    <row r="1387" spans="1:11" x14ac:dyDescent="0.2">
      <c r="A1387" t="s">
        <v>1353</v>
      </c>
      <c r="B1387" t="s">
        <v>991</v>
      </c>
      <c r="C1387" s="9">
        <v>46093</v>
      </c>
      <c r="D1387" s="9">
        <v>46093</v>
      </c>
      <c r="E1387" t="s">
        <v>30</v>
      </c>
      <c r="F1387" t="s">
        <v>697</v>
      </c>
      <c r="G1387">
        <v>24</v>
      </c>
      <c r="H1387">
        <v>57.6</v>
      </c>
      <c r="I1387" t="s">
        <v>927</v>
      </c>
      <c r="K1387" t="b">
        <f>IF(Table1[[#This Row],[dispatch_date]]-Table1[[#This Row],[order_date]] &gt;=0, TRUE, FALSE)</f>
        <v>1</v>
      </c>
    </row>
    <row r="1388" spans="1:11" x14ac:dyDescent="0.2">
      <c r="A1388" t="s">
        <v>1371</v>
      </c>
      <c r="B1388" t="s">
        <v>1034</v>
      </c>
      <c r="C1388" s="9">
        <v>46094</v>
      </c>
      <c r="D1388" s="9">
        <v>46096</v>
      </c>
      <c r="E1388" t="s">
        <v>19</v>
      </c>
      <c r="F1388" t="s">
        <v>369</v>
      </c>
      <c r="G1388">
        <v>48</v>
      </c>
      <c r="H1388">
        <v>97.44</v>
      </c>
      <c r="I1388" t="s">
        <v>938</v>
      </c>
      <c r="K1388" t="b">
        <f>IF(Table1[[#This Row],[dispatch_date]]-Table1[[#This Row],[order_date]] &gt;=0, TRUE, FALSE)</f>
        <v>1</v>
      </c>
    </row>
    <row r="1389" spans="1:11" x14ac:dyDescent="0.2">
      <c r="A1389" t="s">
        <v>1761</v>
      </c>
      <c r="B1389" t="s">
        <v>1067</v>
      </c>
      <c r="C1389" s="9">
        <v>46094</v>
      </c>
      <c r="D1389" s="9">
        <v>46096</v>
      </c>
      <c r="E1389" t="s">
        <v>125</v>
      </c>
      <c r="F1389" t="s">
        <v>780</v>
      </c>
      <c r="G1389">
        <v>24</v>
      </c>
      <c r="H1389">
        <v>183.12</v>
      </c>
      <c r="I1389" t="s">
        <v>956</v>
      </c>
      <c r="K1389" t="b">
        <f>IF(Table1[[#This Row],[dispatch_date]]-Table1[[#This Row],[order_date]] &gt;=0, TRUE, FALSE)</f>
        <v>1</v>
      </c>
    </row>
    <row r="1390" spans="1:11" x14ac:dyDescent="0.2">
      <c r="A1390" t="s">
        <v>1892</v>
      </c>
      <c r="B1390" t="s">
        <v>1011</v>
      </c>
      <c r="C1390" s="9">
        <v>46094</v>
      </c>
      <c r="D1390" s="9">
        <v>46096</v>
      </c>
      <c r="E1390" t="s">
        <v>110</v>
      </c>
      <c r="F1390" t="s">
        <v>476</v>
      </c>
      <c r="G1390">
        <v>12</v>
      </c>
      <c r="H1390">
        <v>39.24</v>
      </c>
      <c r="I1390" t="s">
        <v>916</v>
      </c>
      <c r="K1390" t="b">
        <f>IF(Table1[[#This Row],[dispatch_date]]-Table1[[#This Row],[order_date]] &gt;=0, TRUE, FALSE)</f>
        <v>1</v>
      </c>
    </row>
    <row r="1391" spans="1:11" x14ac:dyDescent="0.2">
      <c r="A1391" t="s">
        <v>1916</v>
      </c>
      <c r="B1391" t="s">
        <v>929</v>
      </c>
      <c r="C1391" s="9">
        <v>46094</v>
      </c>
      <c r="D1391" s="9">
        <v>46094</v>
      </c>
      <c r="E1391" t="s">
        <v>74</v>
      </c>
      <c r="F1391" t="s">
        <v>537</v>
      </c>
      <c r="G1391">
        <v>36</v>
      </c>
      <c r="H1391">
        <v>77.400000000000006</v>
      </c>
      <c r="I1391" t="s">
        <v>912</v>
      </c>
      <c r="K1391" t="b">
        <f>IF(Table1[[#This Row],[dispatch_date]]-Table1[[#This Row],[order_date]] &gt;=0, TRUE, FALSE)</f>
        <v>1</v>
      </c>
    </row>
    <row r="1392" spans="1:11" x14ac:dyDescent="0.2">
      <c r="A1392" t="s">
        <v>2115</v>
      </c>
      <c r="B1392" t="s">
        <v>945</v>
      </c>
      <c r="C1392" s="9">
        <v>46094</v>
      </c>
      <c r="D1392" s="9">
        <v>46095</v>
      </c>
      <c r="E1392" t="s">
        <v>103</v>
      </c>
      <c r="F1392" t="s">
        <v>776</v>
      </c>
      <c r="G1392">
        <v>48</v>
      </c>
      <c r="H1392">
        <v>346.08</v>
      </c>
      <c r="I1392" t="s">
        <v>938</v>
      </c>
      <c r="K1392" t="b">
        <f>IF(Table1[[#This Row],[dispatch_date]]-Table1[[#This Row],[order_date]] &gt;=0, TRUE, FALSE)</f>
        <v>1</v>
      </c>
    </row>
    <row r="1393" spans="1:11" x14ac:dyDescent="0.2">
      <c r="A1393" t="s">
        <v>2166</v>
      </c>
      <c r="B1393" t="s">
        <v>976</v>
      </c>
      <c r="C1393" s="9">
        <v>46094</v>
      </c>
      <c r="D1393" s="9">
        <v>46095</v>
      </c>
      <c r="E1393" t="s">
        <v>40</v>
      </c>
      <c r="F1393" t="s">
        <v>261</v>
      </c>
      <c r="G1393">
        <v>48</v>
      </c>
      <c r="H1393">
        <v>186.72</v>
      </c>
      <c r="I1393" t="s">
        <v>938</v>
      </c>
      <c r="K1393" t="b">
        <f>IF(Table1[[#This Row],[dispatch_date]]-Table1[[#This Row],[order_date]] &gt;=0, TRUE, FALSE)</f>
        <v>1</v>
      </c>
    </row>
    <row r="1394" spans="1:11" x14ac:dyDescent="0.2">
      <c r="A1394" t="s">
        <v>2648</v>
      </c>
      <c r="B1394" t="s">
        <v>958</v>
      </c>
      <c r="C1394" s="9">
        <v>46094</v>
      </c>
      <c r="D1394" s="9">
        <v>46097</v>
      </c>
      <c r="E1394" t="s">
        <v>88</v>
      </c>
      <c r="F1394" t="s">
        <v>648</v>
      </c>
      <c r="G1394">
        <v>24</v>
      </c>
      <c r="H1394">
        <v>99.12</v>
      </c>
      <c r="I1394" t="s">
        <v>956</v>
      </c>
      <c r="K1394" t="b">
        <f>IF(Table1[[#This Row],[dispatch_date]]-Table1[[#This Row],[order_date]] &gt;=0, TRUE, FALSE)</f>
        <v>1</v>
      </c>
    </row>
    <row r="1395" spans="1:11" x14ac:dyDescent="0.2">
      <c r="A1395" t="s">
        <v>2834</v>
      </c>
      <c r="B1395" t="s">
        <v>1076</v>
      </c>
      <c r="C1395" s="9">
        <v>46094</v>
      </c>
      <c r="D1395" s="9">
        <v>46094</v>
      </c>
      <c r="E1395" t="s">
        <v>118</v>
      </c>
      <c r="G1395">
        <v>24</v>
      </c>
      <c r="H1395">
        <v>315.36</v>
      </c>
      <c r="I1395" t="s">
        <v>927</v>
      </c>
      <c r="K1395" t="b">
        <f>IF(Table1[[#This Row],[dispatch_date]]-Table1[[#This Row],[order_date]] &gt;=0, TRUE, FALSE)</f>
        <v>1</v>
      </c>
    </row>
    <row r="1396" spans="1:11" x14ac:dyDescent="0.2">
      <c r="A1396" t="s">
        <v>2866</v>
      </c>
      <c r="B1396" t="s">
        <v>973</v>
      </c>
      <c r="C1396" s="9">
        <v>46094</v>
      </c>
      <c r="D1396" s="9">
        <v>46094</v>
      </c>
      <c r="E1396" t="s">
        <v>121</v>
      </c>
      <c r="F1396" t="s">
        <v>394</v>
      </c>
      <c r="G1396">
        <v>12</v>
      </c>
      <c r="H1396">
        <v>146.38</v>
      </c>
      <c r="I1396" t="s">
        <v>1079</v>
      </c>
      <c r="K1396" t="b">
        <f>IF(Table1[[#This Row],[dispatch_date]]-Table1[[#This Row],[order_date]] &gt;=0, TRUE, FALSE)</f>
        <v>1</v>
      </c>
    </row>
    <row r="1397" spans="1:11" x14ac:dyDescent="0.2">
      <c r="A1397" t="s">
        <v>1238</v>
      </c>
      <c r="B1397" t="s">
        <v>952</v>
      </c>
      <c r="C1397" s="9">
        <v>46095</v>
      </c>
      <c r="D1397" s="9">
        <v>46095</v>
      </c>
      <c r="E1397" t="s">
        <v>69</v>
      </c>
      <c r="G1397">
        <v>6</v>
      </c>
      <c r="H1397">
        <v>32.04</v>
      </c>
      <c r="I1397" t="s">
        <v>938</v>
      </c>
      <c r="K1397" t="b">
        <f>IF(Table1[[#This Row],[dispatch_date]]-Table1[[#This Row],[order_date]] &gt;=0, TRUE, FALSE)</f>
        <v>1</v>
      </c>
    </row>
    <row r="1398" spans="1:11" x14ac:dyDescent="0.2">
      <c r="A1398" t="s">
        <v>1590</v>
      </c>
      <c r="B1398" t="s">
        <v>1001</v>
      </c>
      <c r="C1398" s="9">
        <v>46095</v>
      </c>
      <c r="D1398" s="9">
        <v>46091</v>
      </c>
      <c r="E1398" t="s">
        <v>80</v>
      </c>
      <c r="F1398" t="s">
        <v>352</v>
      </c>
      <c r="G1398">
        <v>36</v>
      </c>
      <c r="H1398">
        <v>214.2</v>
      </c>
      <c r="I1398" t="s">
        <v>916</v>
      </c>
      <c r="J1398" t="s">
        <v>3134</v>
      </c>
      <c r="K1398" t="b">
        <f>IF(Table1[[#This Row],[dispatch_date]]-Table1[[#This Row],[order_date]] &gt;=0, TRUE, FALSE)</f>
        <v>0</v>
      </c>
    </row>
    <row r="1399" spans="1:11" x14ac:dyDescent="0.2">
      <c r="A1399" t="s">
        <v>2423</v>
      </c>
      <c r="B1399" t="s">
        <v>1045</v>
      </c>
      <c r="C1399" s="9">
        <v>46095</v>
      </c>
      <c r="D1399" s="9">
        <v>46095</v>
      </c>
      <c r="E1399" t="s">
        <v>82</v>
      </c>
      <c r="F1399" t="s">
        <v>818</v>
      </c>
      <c r="G1399">
        <v>36</v>
      </c>
      <c r="H1399">
        <v>70.92</v>
      </c>
      <c r="I1399" t="s">
        <v>912</v>
      </c>
      <c r="K1399" t="b">
        <f>IF(Table1[[#This Row],[dispatch_date]]-Table1[[#This Row],[order_date]] &gt;=0, TRUE, FALSE)</f>
        <v>1</v>
      </c>
    </row>
    <row r="1400" spans="1:11" x14ac:dyDescent="0.2">
      <c r="A1400" t="s">
        <v>1535</v>
      </c>
      <c r="B1400" t="s">
        <v>1055</v>
      </c>
      <c r="C1400" s="9">
        <v>46096</v>
      </c>
      <c r="D1400" s="9">
        <v>46097</v>
      </c>
      <c r="E1400" t="s">
        <v>58</v>
      </c>
      <c r="F1400" t="s">
        <v>590</v>
      </c>
      <c r="G1400">
        <v>36</v>
      </c>
      <c r="H1400">
        <v>226.8</v>
      </c>
      <c r="I1400" t="s">
        <v>938</v>
      </c>
      <c r="K1400" t="b">
        <f>IF(Table1[[#This Row],[dispatch_date]]-Table1[[#This Row],[order_date]] &gt;=0, TRUE, FALSE)</f>
        <v>1</v>
      </c>
    </row>
    <row r="1401" spans="1:11" x14ac:dyDescent="0.2">
      <c r="A1401" t="s">
        <v>2067</v>
      </c>
      <c r="B1401" t="s">
        <v>1021</v>
      </c>
      <c r="C1401" s="9">
        <v>46096</v>
      </c>
      <c r="D1401" s="9">
        <v>46098</v>
      </c>
      <c r="E1401" t="s">
        <v>118</v>
      </c>
      <c r="F1401" t="s">
        <v>288</v>
      </c>
      <c r="G1401">
        <v>6</v>
      </c>
      <c r="H1401">
        <v>78.84</v>
      </c>
      <c r="I1401" t="s">
        <v>916</v>
      </c>
      <c r="K1401" t="b">
        <f>IF(Table1[[#This Row],[dispatch_date]]-Table1[[#This Row],[order_date]] &gt;=0, TRUE, FALSE)</f>
        <v>1</v>
      </c>
    </row>
    <row r="1402" spans="1:11" x14ac:dyDescent="0.2">
      <c r="A1402" t="s">
        <v>1190</v>
      </c>
      <c r="B1402" t="s">
        <v>954</v>
      </c>
      <c r="C1402" s="9">
        <v>46097</v>
      </c>
      <c r="D1402" s="9">
        <v>46099</v>
      </c>
      <c r="E1402" t="s">
        <v>118</v>
      </c>
      <c r="G1402">
        <v>24</v>
      </c>
      <c r="H1402">
        <v>315.36</v>
      </c>
      <c r="I1402" t="s">
        <v>1079</v>
      </c>
      <c r="K1402" t="b">
        <f>IF(Table1[[#This Row],[dispatch_date]]-Table1[[#This Row],[order_date]] &gt;=0, TRUE, FALSE)</f>
        <v>1</v>
      </c>
    </row>
    <row r="1403" spans="1:11" x14ac:dyDescent="0.2">
      <c r="A1403" t="s">
        <v>1292</v>
      </c>
      <c r="B1403" t="s">
        <v>1016</v>
      </c>
      <c r="C1403" s="9">
        <v>46097</v>
      </c>
      <c r="D1403" s="9">
        <v>46100</v>
      </c>
      <c r="E1403" t="s">
        <v>38</v>
      </c>
      <c r="F1403" t="s">
        <v>889</v>
      </c>
      <c r="G1403">
        <v>12</v>
      </c>
      <c r="H1403">
        <v>61.2</v>
      </c>
      <c r="I1403" t="s">
        <v>912</v>
      </c>
      <c r="K1403" t="b">
        <f>IF(Table1[[#This Row],[dispatch_date]]-Table1[[#This Row],[order_date]] &gt;=0, TRUE, FALSE)</f>
        <v>1</v>
      </c>
    </row>
    <row r="1404" spans="1:11" x14ac:dyDescent="0.2">
      <c r="A1404" t="s">
        <v>2004</v>
      </c>
      <c r="B1404" t="s">
        <v>948</v>
      </c>
      <c r="C1404" s="9">
        <v>46097</v>
      </c>
      <c r="D1404" s="9">
        <v>46100</v>
      </c>
      <c r="E1404" t="s">
        <v>56</v>
      </c>
      <c r="F1404" t="s">
        <v>467</v>
      </c>
      <c r="G1404">
        <v>6</v>
      </c>
      <c r="H1404">
        <v>35.28</v>
      </c>
      <c r="I1404" t="s">
        <v>938</v>
      </c>
      <c r="K1404" t="b">
        <f>IF(Table1[[#This Row],[dispatch_date]]-Table1[[#This Row],[order_date]] &gt;=0, TRUE, FALSE)</f>
        <v>1</v>
      </c>
    </row>
    <row r="1405" spans="1:11" x14ac:dyDescent="0.2">
      <c r="A1405" t="s">
        <v>2127</v>
      </c>
      <c r="B1405" t="s">
        <v>914</v>
      </c>
      <c r="C1405" s="9">
        <v>46097</v>
      </c>
      <c r="D1405" s="9">
        <v>46099</v>
      </c>
      <c r="E1405" t="s">
        <v>110</v>
      </c>
      <c r="F1405" t="s">
        <v>476</v>
      </c>
      <c r="G1405">
        <v>48</v>
      </c>
      <c r="H1405">
        <v>156.96</v>
      </c>
      <c r="I1405" t="s">
        <v>916</v>
      </c>
      <c r="K1405" t="b">
        <f>IF(Table1[[#This Row],[dispatch_date]]-Table1[[#This Row],[order_date]] &gt;=0, TRUE, FALSE)</f>
        <v>1</v>
      </c>
    </row>
    <row r="1406" spans="1:11" x14ac:dyDescent="0.2">
      <c r="A1406" t="s">
        <v>2551</v>
      </c>
      <c r="B1406" t="s">
        <v>1004</v>
      </c>
      <c r="C1406" s="9">
        <v>46097</v>
      </c>
      <c r="D1406" s="9">
        <v>46099</v>
      </c>
      <c r="E1406" t="s">
        <v>44</v>
      </c>
      <c r="F1406" t="s">
        <v>349</v>
      </c>
      <c r="G1406">
        <v>36</v>
      </c>
      <c r="H1406">
        <v>217.8</v>
      </c>
      <c r="I1406" t="s">
        <v>927</v>
      </c>
      <c r="K1406" t="b">
        <f>IF(Table1[[#This Row],[dispatch_date]]-Table1[[#This Row],[order_date]] &gt;=0, TRUE, FALSE)</f>
        <v>1</v>
      </c>
    </row>
    <row r="1407" spans="1:11" x14ac:dyDescent="0.2">
      <c r="A1407" t="s">
        <v>2703</v>
      </c>
      <c r="B1407" t="s">
        <v>952</v>
      </c>
      <c r="C1407" s="9">
        <v>46097</v>
      </c>
      <c r="D1407" s="9">
        <v>46098</v>
      </c>
      <c r="E1407" t="s">
        <v>93</v>
      </c>
      <c r="F1407" t="s">
        <v>414</v>
      </c>
      <c r="G1407">
        <v>24</v>
      </c>
      <c r="H1407">
        <v>66.959999999999994</v>
      </c>
      <c r="I1407" t="s">
        <v>938</v>
      </c>
      <c r="K1407" t="b">
        <f>IF(Table1[[#This Row],[dispatch_date]]-Table1[[#This Row],[order_date]] &gt;=0, TRUE, FALSE)</f>
        <v>1</v>
      </c>
    </row>
    <row r="1408" spans="1:11" x14ac:dyDescent="0.2">
      <c r="A1408" t="s">
        <v>1135</v>
      </c>
      <c r="B1408" t="s">
        <v>1018</v>
      </c>
      <c r="C1408" s="9">
        <v>46098</v>
      </c>
      <c r="D1408" s="9">
        <v>46100</v>
      </c>
      <c r="E1408" t="s">
        <v>93</v>
      </c>
      <c r="F1408" t="s">
        <v>849</v>
      </c>
      <c r="G1408">
        <v>48</v>
      </c>
      <c r="H1408">
        <v>133.91999999999999</v>
      </c>
      <c r="I1408" t="s">
        <v>916</v>
      </c>
      <c r="K1408" t="b">
        <f>IF(Table1[[#This Row],[dispatch_date]]-Table1[[#This Row],[order_date]] &gt;=0, TRUE, FALSE)</f>
        <v>1</v>
      </c>
    </row>
    <row r="1409" spans="1:11" x14ac:dyDescent="0.2">
      <c r="A1409" t="s">
        <v>1534</v>
      </c>
      <c r="B1409" t="s">
        <v>1013</v>
      </c>
      <c r="C1409" s="9">
        <v>46098</v>
      </c>
      <c r="D1409" s="9">
        <v>46101</v>
      </c>
      <c r="E1409" t="s">
        <v>114</v>
      </c>
      <c r="F1409" t="s">
        <v>741</v>
      </c>
      <c r="G1409">
        <v>72</v>
      </c>
      <c r="H1409">
        <v>356.4</v>
      </c>
      <c r="I1409" t="s">
        <v>956</v>
      </c>
      <c r="K1409" t="b">
        <f>IF(Table1[[#This Row],[dispatch_date]]-Table1[[#This Row],[order_date]] &gt;=0, TRUE, FALSE)</f>
        <v>1</v>
      </c>
    </row>
    <row r="1410" spans="1:11" x14ac:dyDescent="0.2">
      <c r="A1410" t="s">
        <v>1710</v>
      </c>
      <c r="B1410" t="s">
        <v>962</v>
      </c>
      <c r="C1410" s="9">
        <v>46098</v>
      </c>
      <c r="D1410" s="9">
        <v>46100</v>
      </c>
      <c r="E1410" t="s">
        <v>42</v>
      </c>
      <c r="F1410" t="s">
        <v>411</v>
      </c>
      <c r="G1410">
        <v>24</v>
      </c>
      <c r="H1410">
        <v>78.48</v>
      </c>
      <c r="I1410" t="s">
        <v>956</v>
      </c>
      <c r="K1410" t="b">
        <f>IF(Table1[[#This Row],[dispatch_date]]-Table1[[#This Row],[order_date]] &gt;=0, TRUE, FALSE)</f>
        <v>1</v>
      </c>
    </row>
    <row r="1411" spans="1:11" x14ac:dyDescent="0.2">
      <c r="A1411" t="s">
        <v>1787</v>
      </c>
      <c r="B1411" t="s">
        <v>1074</v>
      </c>
      <c r="C1411" s="9">
        <v>46098</v>
      </c>
      <c r="D1411" s="9">
        <v>46100</v>
      </c>
      <c r="E1411" t="s">
        <v>65</v>
      </c>
      <c r="F1411" t="s">
        <v>616</v>
      </c>
      <c r="G1411">
        <v>24</v>
      </c>
      <c r="H1411">
        <v>302.56</v>
      </c>
      <c r="I1411" t="s">
        <v>916</v>
      </c>
      <c r="K1411" t="b">
        <f>IF(Table1[[#This Row],[dispatch_date]]-Table1[[#This Row],[order_date]] &gt;=0, TRUE, FALSE)</f>
        <v>1</v>
      </c>
    </row>
    <row r="1412" spans="1:11" x14ac:dyDescent="0.2">
      <c r="A1412" t="s">
        <v>1925</v>
      </c>
      <c r="B1412" t="s">
        <v>1052</v>
      </c>
      <c r="C1412" s="9">
        <v>46098</v>
      </c>
      <c r="D1412" s="9">
        <v>46099</v>
      </c>
      <c r="E1412" t="s">
        <v>101</v>
      </c>
      <c r="F1412" t="s">
        <v>573</v>
      </c>
      <c r="G1412">
        <v>6</v>
      </c>
      <c r="H1412">
        <v>20.16</v>
      </c>
      <c r="I1412" t="s">
        <v>956</v>
      </c>
      <c r="K1412" t="b">
        <f>IF(Table1[[#This Row],[dispatch_date]]-Table1[[#This Row],[order_date]] &gt;=0, TRUE, FALSE)</f>
        <v>1</v>
      </c>
    </row>
    <row r="1413" spans="1:11" x14ac:dyDescent="0.2">
      <c r="A1413" t="s">
        <v>1971</v>
      </c>
      <c r="B1413" t="s">
        <v>983</v>
      </c>
      <c r="C1413" s="9">
        <v>46098</v>
      </c>
      <c r="D1413" s="9">
        <v>46099</v>
      </c>
      <c r="E1413" t="s">
        <v>105</v>
      </c>
      <c r="F1413" t="s">
        <v>463</v>
      </c>
      <c r="G1413">
        <v>6</v>
      </c>
      <c r="H1413">
        <v>35.700000000000003</v>
      </c>
      <c r="I1413" t="s">
        <v>916</v>
      </c>
      <c r="K1413" t="b">
        <f>IF(Table1[[#This Row],[dispatch_date]]-Table1[[#This Row],[order_date]] &gt;=0, TRUE, FALSE)</f>
        <v>1</v>
      </c>
    </row>
    <row r="1414" spans="1:11" x14ac:dyDescent="0.2">
      <c r="A1414" t="s">
        <v>2337</v>
      </c>
      <c r="B1414" t="s">
        <v>1016</v>
      </c>
      <c r="C1414" s="9">
        <v>46098</v>
      </c>
      <c r="D1414" s="9">
        <v>46101</v>
      </c>
      <c r="E1414" t="s">
        <v>110</v>
      </c>
      <c r="F1414" t="s">
        <v>866</v>
      </c>
      <c r="G1414">
        <v>6</v>
      </c>
      <c r="H1414">
        <v>19.62</v>
      </c>
      <c r="I1414" t="s">
        <v>912</v>
      </c>
      <c r="K1414" t="b">
        <f>IF(Table1[[#This Row],[dispatch_date]]-Table1[[#This Row],[order_date]] &gt;=0, TRUE, FALSE)</f>
        <v>1</v>
      </c>
    </row>
    <row r="1415" spans="1:11" x14ac:dyDescent="0.2">
      <c r="A1415" t="s">
        <v>2471</v>
      </c>
      <c r="B1415" t="s">
        <v>996</v>
      </c>
      <c r="C1415" s="9">
        <v>46098</v>
      </c>
      <c r="D1415" s="9">
        <v>46098</v>
      </c>
      <c r="E1415" t="s">
        <v>129</v>
      </c>
      <c r="F1415" t="s">
        <v>725</v>
      </c>
      <c r="G1415">
        <v>24</v>
      </c>
      <c r="H1415">
        <v>108.3</v>
      </c>
      <c r="I1415" t="s">
        <v>956</v>
      </c>
      <c r="K1415" t="b">
        <f>IF(Table1[[#This Row],[dispatch_date]]-Table1[[#This Row],[order_date]] &gt;=0, TRUE, FALSE)</f>
        <v>1</v>
      </c>
    </row>
    <row r="1416" spans="1:11" x14ac:dyDescent="0.2">
      <c r="A1416" t="s">
        <v>1426</v>
      </c>
      <c r="B1416" t="s">
        <v>1059</v>
      </c>
      <c r="C1416" s="9">
        <v>46099</v>
      </c>
      <c r="D1416" s="9">
        <v>46102</v>
      </c>
      <c r="E1416" t="s">
        <v>67</v>
      </c>
      <c r="F1416" t="s">
        <v>398</v>
      </c>
      <c r="G1416">
        <v>6</v>
      </c>
      <c r="H1416">
        <v>31.8</v>
      </c>
      <c r="I1416" t="s">
        <v>956</v>
      </c>
      <c r="K1416" t="b">
        <f>IF(Table1[[#This Row],[dispatch_date]]-Table1[[#This Row],[order_date]] &gt;=0, TRUE, FALSE)</f>
        <v>1</v>
      </c>
    </row>
    <row r="1417" spans="1:11" x14ac:dyDescent="0.2">
      <c r="A1417" t="s">
        <v>1254</v>
      </c>
      <c r="B1417" t="s">
        <v>971</v>
      </c>
      <c r="C1417" s="9">
        <v>46100</v>
      </c>
      <c r="D1417" s="9">
        <v>46103</v>
      </c>
      <c r="E1417" t="s">
        <v>8</v>
      </c>
      <c r="G1417">
        <v>72</v>
      </c>
      <c r="H1417">
        <v>434.16</v>
      </c>
      <c r="I1417" t="s">
        <v>956</v>
      </c>
      <c r="K1417" t="b">
        <f>IF(Table1[[#This Row],[dispatch_date]]-Table1[[#This Row],[order_date]] &gt;=0, TRUE, FALSE)</f>
        <v>1</v>
      </c>
    </row>
    <row r="1418" spans="1:11" x14ac:dyDescent="0.2">
      <c r="A1418" t="s">
        <v>2278</v>
      </c>
      <c r="B1418" t="s">
        <v>1004</v>
      </c>
      <c r="C1418" s="9">
        <v>46100</v>
      </c>
      <c r="D1418" s="9">
        <v>46102</v>
      </c>
      <c r="E1418" t="s">
        <v>125</v>
      </c>
      <c r="F1418" t="s">
        <v>736</v>
      </c>
      <c r="G1418">
        <v>24</v>
      </c>
      <c r="H1418">
        <v>173.96</v>
      </c>
      <c r="I1418" t="s">
        <v>927</v>
      </c>
      <c r="K1418" t="b">
        <f>IF(Table1[[#This Row],[dispatch_date]]-Table1[[#This Row],[order_date]] &gt;=0, TRUE, FALSE)</f>
        <v>1</v>
      </c>
    </row>
    <row r="1419" spans="1:11" x14ac:dyDescent="0.2">
      <c r="A1419" t="s">
        <v>2775</v>
      </c>
      <c r="B1419" t="s">
        <v>1045</v>
      </c>
      <c r="C1419" s="9">
        <v>46100</v>
      </c>
      <c r="D1419" s="9">
        <v>46102</v>
      </c>
      <c r="E1419" t="s">
        <v>95</v>
      </c>
      <c r="F1419" t="s">
        <v>321</v>
      </c>
      <c r="G1419">
        <v>72</v>
      </c>
      <c r="H1419">
        <v>283.68</v>
      </c>
      <c r="I1419" t="s">
        <v>912</v>
      </c>
      <c r="K1419" t="b">
        <f>IF(Table1[[#This Row],[dispatch_date]]-Table1[[#This Row],[order_date]] &gt;=0, TRUE, FALSE)</f>
        <v>1</v>
      </c>
    </row>
    <row r="1420" spans="1:11" x14ac:dyDescent="0.2">
      <c r="A1420" t="s">
        <v>2187</v>
      </c>
      <c r="B1420" t="s">
        <v>1013</v>
      </c>
      <c r="C1420" s="9">
        <v>46101</v>
      </c>
      <c r="D1420" s="9">
        <v>46102</v>
      </c>
      <c r="E1420" t="s">
        <v>103</v>
      </c>
      <c r="F1420" t="s">
        <v>887</v>
      </c>
      <c r="G1420">
        <v>24</v>
      </c>
      <c r="H1420">
        <v>173.04</v>
      </c>
      <c r="I1420" t="s">
        <v>956</v>
      </c>
      <c r="K1420" t="b">
        <f>IF(Table1[[#This Row],[dispatch_date]]-Table1[[#This Row],[order_date]] &gt;=0, TRUE, FALSE)</f>
        <v>1</v>
      </c>
    </row>
    <row r="1421" spans="1:11" x14ac:dyDescent="0.2">
      <c r="A1421" t="s">
        <v>1217</v>
      </c>
      <c r="B1421" t="s">
        <v>1049</v>
      </c>
      <c r="C1421" s="9">
        <v>46102</v>
      </c>
      <c r="D1421" s="9">
        <v>46105</v>
      </c>
      <c r="E1421" t="s">
        <v>118</v>
      </c>
      <c r="F1421" t="s">
        <v>500</v>
      </c>
      <c r="G1421">
        <v>48</v>
      </c>
      <c r="H1421">
        <v>599.17999999999995</v>
      </c>
      <c r="I1421" t="s">
        <v>938</v>
      </c>
      <c r="K1421" t="b">
        <f>IF(Table1[[#This Row],[dispatch_date]]-Table1[[#This Row],[order_date]] &gt;=0, TRUE, FALSE)</f>
        <v>1</v>
      </c>
    </row>
    <row r="1422" spans="1:11" x14ac:dyDescent="0.2">
      <c r="A1422" t="s">
        <v>1621</v>
      </c>
      <c r="B1422" t="s">
        <v>1060</v>
      </c>
      <c r="C1422" s="9">
        <v>46103</v>
      </c>
      <c r="D1422" s="9">
        <v>46105</v>
      </c>
      <c r="E1422" t="s">
        <v>93</v>
      </c>
      <c r="F1422" t="s">
        <v>849</v>
      </c>
      <c r="G1422">
        <v>12</v>
      </c>
      <c r="H1422">
        <v>33.479999999999997</v>
      </c>
      <c r="I1422" t="s">
        <v>956</v>
      </c>
      <c r="K1422" t="b">
        <f>IF(Table1[[#This Row],[dispatch_date]]-Table1[[#This Row],[order_date]] &gt;=0, TRUE, FALSE)</f>
        <v>1</v>
      </c>
    </row>
    <row r="1423" spans="1:11" x14ac:dyDescent="0.2">
      <c r="A1423" t="s">
        <v>1734</v>
      </c>
      <c r="B1423" t="s">
        <v>983</v>
      </c>
      <c r="C1423" s="9">
        <v>46103</v>
      </c>
      <c r="D1423" s="9">
        <v>46106</v>
      </c>
      <c r="E1423" t="s">
        <v>88</v>
      </c>
      <c r="F1423" t="s">
        <v>648</v>
      </c>
      <c r="G1423">
        <v>6</v>
      </c>
      <c r="H1423">
        <v>24.78</v>
      </c>
      <c r="I1423" t="s">
        <v>916</v>
      </c>
      <c r="K1423" t="b">
        <f>IF(Table1[[#This Row],[dispatch_date]]-Table1[[#This Row],[order_date]] &gt;=0, TRUE, FALSE)</f>
        <v>1</v>
      </c>
    </row>
    <row r="1424" spans="1:11" x14ac:dyDescent="0.2">
      <c r="A1424" t="s">
        <v>1839</v>
      </c>
      <c r="B1424" t="s">
        <v>1077</v>
      </c>
      <c r="C1424" s="9">
        <v>46103</v>
      </c>
      <c r="D1424" s="9">
        <v>46103</v>
      </c>
      <c r="E1424" t="s">
        <v>54</v>
      </c>
      <c r="F1424" t="s">
        <v>829</v>
      </c>
      <c r="G1424">
        <v>36</v>
      </c>
      <c r="H1424">
        <v>159.47999999999999</v>
      </c>
      <c r="I1424" t="s">
        <v>1079</v>
      </c>
      <c r="K1424" t="b">
        <f>IF(Table1[[#This Row],[dispatch_date]]-Table1[[#This Row],[order_date]] &gt;=0, TRUE, FALSE)</f>
        <v>1</v>
      </c>
    </row>
    <row r="1425" spans="1:11" x14ac:dyDescent="0.2">
      <c r="A1425" t="s">
        <v>1958</v>
      </c>
      <c r="B1425" t="s">
        <v>1048</v>
      </c>
      <c r="C1425" s="9">
        <v>46103</v>
      </c>
      <c r="D1425" s="9">
        <v>46103</v>
      </c>
      <c r="E1425" t="s">
        <v>65</v>
      </c>
      <c r="F1425" t="s">
        <v>672</v>
      </c>
      <c r="G1425">
        <v>24</v>
      </c>
      <c r="H1425">
        <v>302.56</v>
      </c>
      <c r="I1425" t="s">
        <v>912</v>
      </c>
      <c r="K1425" t="b">
        <f>IF(Table1[[#This Row],[dispatch_date]]-Table1[[#This Row],[order_date]] &gt;=0, TRUE, FALSE)</f>
        <v>1</v>
      </c>
    </row>
    <row r="1426" spans="1:11" x14ac:dyDescent="0.2">
      <c r="A1426" t="s">
        <v>2847</v>
      </c>
      <c r="B1426" t="s">
        <v>932</v>
      </c>
      <c r="C1426" s="9">
        <v>46103</v>
      </c>
      <c r="D1426" s="9">
        <v>46104</v>
      </c>
      <c r="E1426" t="s">
        <v>116</v>
      </c>
      <c r="G1426">
        <v>6</v>
      </c>
      <c r="H1426">
        <v>29.04</v>
      </c>
      <c r="I1426" t="s">
        <v>956</v>
      </c>
      <c r="K1426" t="b">
        <f>IF(Table1[[#This Row],[dispatch_date]]-Table1[[#This Row],[order_date]] &gt;=0, TRUE, FALSE)</f>
        <v>1</v>
      </c>
    </row>
    <row r="1427" spans="1:11" x14ac:dyDescent="0.2">
      <c r="A1427" t="s">
        <v>2654</v>
      </c>
      <c r="B1427" t="s">
        <v>1052</v>
      </c>
      <c r="C1427" s="9">
        <v>46104</v>
      </c>
      <c r="D1427" s="9"/>
      <c r="E1427" t="s">
        <v>48</v>
      </c>
      <c r="F1427" t="s">
        <v>802</v>
      </c>
      <c r="G1427">
        <v>6</v>
      </c>
      <c r="H1427">
        <v>40.44</v>
      </c>
      <c r="I1427" t="s">
        <v>956</v>
      </c>
      <c r="K1427" t="b">
        <f>IF(Table1[[#This Row],[dispatch_date]]-Table1[[#This Row],[order_date]] &gt;=0, TRUE, FALSE)</f>
        <v>0</v>
      </c>
    </row>
    <row r="1428" spans="1:11" x14ac:dyDescent="0.2">
      <c r="A1428" t="s">
        <v>1372</v>
      </c>
      <c r="B1428" t="s">
        <v>1024</v>
      </c>
      <c r="C1428" s="9">
        <v>46105</v>
      </c>
      <c r="D1428" s="9">
        <v>46106</v>
      </c>
      <c r="E1428" t="s">
        <v>54</v>
      </c>
      <c r="G1428">
        <v>24</v>
      </c>
      <c r="H1428">
        <v>106.32</v>
      </c>
      <c r="I1428" t="s">
        <v>938</v>
      </c>
      <c r="K1428" t="b">
        <f>IF(Table1[[#This Row],[dispatch_date]]-Table1[[#This Row],[order_date]] &gt;=0, TRUE, FALSE)</f>
        <v>1</v>
      </c>
    </row>
    <row r="1429" spans="1:11" x14ac:dyDescent="0.2">
      <c r="A1429" t="s">
        <v>2480</v>
      </c>
      <c r="B1429" t="s">
        <v>945</v>
      </c>
      <c r="C1429" s="9">
        <v>46105</v>
      </c>
      <c r="D1429" s="9">
        <v>46107</v>
      </c>
      <c r="E1429" t="s">
        <v>8</v>
      </c>
      <c r="F1429" t="s">
        <v>656</v>
      </c>
      <c r="G1429">
        <v>24</v>
      </c>
      <c r="H1429">
        <v>144.72</v>
      </c>
      <c r="I1429" t="s">
        <v>938</v>
      </c>
      <c r="K1429" t="b">
        <f>IF(Table1[[#This Row],[dispatch_date]]-Table1[[#This Row],[order_date]] &gt;=0, TRUE, FALSE)</f>
        <v>1</v>
      </c>
    </row>
    <row r="1430" spans="1:11" x14ac:dyDescent="0.2">
      <c r="A1430" t="s">
        <v>2864</v>
      </c>
      <c r="B1430" t="s">
        <v>1024</v>
      </c>
      <c r="C1430" s="9">
        <v>46105</v>
      </c>
      <c r="D1430" s="9">
        <v>46107</v>
      </c>
      <c r="E1430" t="s">
        <v>56</v>
      </c>
      <c r="F1430" t="s">
        <v>761</v>
      </c>
      <c r="G1430">
        <v>24</v>
      </c>
      <c r="H1430">
        <v>141.12</v>
      </c>
      <c r="I1430" t="s">
        <v>938</v>
      </c>
      <c r="K1430" t="b">
        <f>IF(Table1[[#This Row],[dispatch_date]]-Table1[[#This Row],[order_date]] &gt;=0, TRUE, FALSE)</f>
        <v>1</v>
      </c>
    </row>
    <row r="1431" spans="1:11" x14ac:dyDescent="0.2">
      <c r="A1431" t="s">
        <v>2786</v>
      </c>
      <c r="B1431" t="s">
        <v>910</v>
      </c>
      <c r="C1431" s="9">
        <v>46106</v>
      </c>
      <c r="D1431" s="9">
        <v>46106</v>
      </c>
      <c r="E1431" t="s">
        <v>28</v>
      </c>
      <c r="F1431" t="s">
        <v>788</v>
      </c>
      <c r="G1431">
        <v>48</v>
      </c>
      <c r="H1431">
        <v>275.52</v>
      </c>
      <c r="I1431" t="s">
        <v>912</v>
      </c>
      <c r="K1431" t="b">
        <f>IF(Table1[[#This Row],[dispatch_date]]-Table1[[#This Row],[order_date]] &gt;=0, TRUE, FALSE)</f>
        <v>1</v>
      </c>
    </row>
    <row r="1432" spans="1:11" x14ac:dyDescent="0.2">
      <c r="A1432" t="s">
        <v>1485</v>
      </c>
      <c r="B1432" t="s">
        <v>1037</v>
      </c>
      <c r="C1432" s="9">
        <v>46107</v>
      </c>
      <c r="D1432" s="9">
        <v>46107</v>
      </c>
      <c r="E1432" t="s">
        <v>40</v>
      </c>
      <c r="G1432">
        <v>6</v>
      </c>
      <c r="H1432">
        <v>22.17</v>
      </c>
      <c r="I1432" t="s">
        <v>938</v>
      </c>
      <c r="K1432" t="b">
        <f>IF(Table1[[#This Row],[dispatch_date]]-Table1[[#This Row],[order_date]] &gt;=0, TRUE, FALSE)</f>
        <v>1</v>
      </c>
    </row>
    <row r="1433" spans="1:11" x14ac:dyDescent="0.2">
      <c r="A1433" t="s">
        <v>1573</v>
      </c>
      <c r="B1433" t="s">
        <v>948</v>
      </c>
      <c r="C1433" s="9">
        <v>46108</v>
      </c>
      <c r="D1433" s="9">
        <v>46111</v>
      </c>
      <c r="E1433" t="s">
        <v>90</v>
      </c>
      <c r="F1433" t="s">
        <v>759</v>
      </c>
      <c r="G1433">
        <v>72</v>
      </c>
      <c r="H1433">
        <v>604.79999999999995</v>
      </c>
      <c r="I1433" t="s">
        <v>938</v>
      </c>
      <c r="K1433" t="b">
        <f>IF(Table1[[#This Row],[dispatch_date]]-Table1[[#This Row],[order_date]] &gt;=0, TRUE, FALSE)</f>
        <v>1</v>
      </c>
    </row>
    <row r="1434" spans="1:11" x14ac:dyDescent="0.2">
      <c r="A1434" t="s">
        <v>1706</v>
      </c>
      <c r="B1434" t="s">
        <v>1042</v>
      </c>
      <c r="C1434" s="9">
        <v>46108</v>
      </c>
      <c r="D1434" s="9">
        <v>46111</v>
      </c>
      <c r="E1434" t="s">
        <v>44</v>
      </c>
      <c r="F1434" t="s">
        <v>511</v>
      </c>
      <c r="G1434">
        <v>24</v>
      </c>
      <c r="H1434">
        <v>145.19999999999999</v>
      </c>
      <c r="I1434" t="s">
        <v>1079</v>
      </c>
      <c r="K1434" t="b">
        <f>IF(Table1[[#This Row],[dispatch_date]]-Table1[[#This Row],[order_date]] &gt;=0, TRUE, FALSE)</f>
        <v>1</v>
      </c>
    </row>
    <row r="1435" spans="1:11" x14ac:dyDescent="0.2">
      <c r="A1435" t="s">
        <v>2767</v>
      </c>
      <c r="B1435" t="s">
        <v>1029</v>
      </c>
      <c r="C1435" s="9">
        <v>46108</v>
      </c>
      <c r="D1435" s="9">
        <v>46108</v>
      </c>
      <c r="E1435" t="s">
        <v>58</v>
      </c>
      <c r="F1435" t="s">
        <v>590</v>
      </c>
      <c r="G1435">
        <v>6</v>
      </c>
      <c r="H1435">
        <v>35.909999999999997</v>
      </c>
      <c r="I1435" t="s">
        <v>938</v>
      </c>
      <c r="K1435" t="b">
        <f>IF(Table1[[#This Row],[dispatch_date]]-Table1[[#This Row],[order_date]] &gt;=0, TRUE, FALSE)</f>
        <v>1</v>
      </c>
    </row>
    <row r="1436" spans="1:11" x14ac:dyDescent="0.2">
      <c r="A1436" t="s">
        <v>1179</v>
      </c>
      <c r="B1436" t="s">
        <v>1049</v>
      </c>
      <c r="C1436" s="9">
        <v>46109</v>
      </c>
      <c r="D1436" s="9">
        <v>46109</v>
      </c>
      <c r="E1436" t="s">
        <v>88</v>
      </c>
      <c r="G1436">
        <v>12</v>
      </c>
      <c r="H1436">
        <v>49.56</v>
      </c>
      <c r="I1436" t="s">
        <v>938</v>
      </c>
      <c r="K1436" t="b">
        <f>IF(Table1[[#This Row],[dispatch_date]]-Table1[[#This Row],[order_date]] &gt;=0, TRUE, FALSE)</f>
        <v>1</v>
      </c>
    </row>
    <row r="1437" spans="1:11" x14ac:dyDescent="0.2">
      <c r="A1437" t="s">
        <v>1270</v>
      </c>
      <c r="B1437" t="s">
        <v>925</v>
      </c>
      <c r="C1437" s="9">
        <v>46109</v>
      </c>
      <c r="D1437" s="9">
        <v>46111</v>
      </c>
      <c r="E1437" t="s">
        <v>97</v>
      </c>
      <c r="F1437" t="s">
        <v>279</v>
      </c>
      <c r="G1437">
        <v>12</v>
      </c>
      <c r="H1437">
        <v>64.56</v>
      </c>
      <c r="I1437" t="s">
        <v>927</v>
      </c>
      <c r="K1437" t="b">
        <f>IF(Table1[[#This Row],[dispatch_date]]-Table1[[#This Row],[order_date]] &gt;=0, TRUE, FALSE)</f>
        <v>1</v>
      </c>
    </row>
    <row r="1438" spans="1:11" x14ac:dyDescent="0.2">
      <c r="A1438" t="s">
        <v>2024</v>
      </c>
      <c r="B1438" t="s">
        <v>996</v>
      </c>
      <c r="C1438" s="9">
        <v>46109</v>
      </c>
      <c r="D1438" s="9">
        <v>46110</v>
      </c>
      <c r="E1438" t="s">
        <v>71</v>
      </c>
      <c r="F1438" t="s">
        <v>782</v>
      </c>
      <c r="G1438">
        <v>48</v>
      </c>
      <c r="H1438">
        <v>433.66</v>
      </c>
      <c r="I1438" t="s">
        <v>956</v>
      </c>
      <c r="K1438" t="b">
        <f>IF(Table1[[#This Row],[dispatch_date]]-Table1[[#This Row],[order_date]] &gt;=0, TRUE, FALSE)</f>
        <v>1</v>
      </c>
    </row>
    <row r="1439" spans="1:11" x14ac:dyDescent="0.2">
      <c r="A1439" t="s">
        <v>2056</v>
      </c>
      <c r="B1439" t="s">
        <v>1037</v>
      </c>
      <c r="C1439" s="9">
        <v>46109</v>
      </c>
      <c r="D1439" s="9">
        <v>46111</v>
      </c>
      <c r="E1439" t="s">
        <v>112</v>
      </c>
      <c r="F1439" t="s">
        <v>184</v>
      </c>
      <c r="G1439">
        <v>6</v>
      </c>
      <c r="H1439">
        <v>36.06</v>
      </c>
      <c r="I1439" t="s">
        <v>938</v>
      </c>
      <c r="K1439" t="b">
        <f>IF(Table1[[#This Row],[dispatch_date]]-Table1[[#This Row],[order_date]] &gt;=0, TRUE, FALSE)</f>
        <v>1</v>
      </c>
    </row>
    <row r="1440" spans="1:11" x14ac:dyDescent="0.2">
      <c r="A1440" t="s">
        <v>2658</v>
      </c>
      <c r="B1440" t="s">
        <v>958</v>
      </c>
      <c r="C1440" s="9">
        <v>46109</v>
      </c>
      <c r="D1440" s="9">
        <v>46110</v>
      </c>
      <c r="E1440" t="s">
        <v>58</v>
      </c>
      <c r="F1440" t="s">
        <v>486</v>
      </c>
      <c r="G1440">
        <v>24</v>
      </c>
      <c r="H1440">
        <v>151.19999999999999</v>
      </c>
      <c r="I1440" t="s">
        <v>956</v>
      </c>
      <c r="K1440" t="b">
        <f>IF(Table1[[#This Row],[dispatch_date]]-Table1[[#This Row],[order_date]] &gt;=0, TRUE, FALSE)</f>
        <v>1</v>
      </c>
    </row>
    <row r="1441" spans="1:11" x14ac:dyDescent="0.2">
      <c r="A1441" t="s">
        <v>2757</v>
      </c>
      <c r="B1441" t="s">
        <v>976</v>
      </c>
      <c r="C1441" s="9">
        <v>46109</v>
      </c>
      <c r="D1441" s="9">
        <v>46110</v>
      </c>
      <c r="E1441" t="s">
        <v>19</v>
      </c>
      <c r="F1441" t="s">
        <v>664</v>
      </c>
      <c r="G1441">
        <v>24</v>
      </c>
      <c r="H1441">
        <v>48.72</v>
      </c>
      <c r="I1441" t="s">
        <v>938</v>
      </c>
      <c r="K1441" t="b">
        <f>IF(Table1[[#This Row],[dispatch_date]]-Table1[[#This Row],[order_date]] &gt;=0, TRUE, FALSE)</f>
        <v>1</v>
      </c>
    </row>
    <row r="1442" spans="1:11" x14ac:dyDescent="0.2">
      <c r="A1442" t="s">
        <v>1964</v>
      </c>
      <c r="B1442" t="s">
        <v>985</v>
      </c>
      <c r="C1442" s="9">
        <v>46110</v>
      </c>
      <c r="D1442" s="9">
        <v>46113</v>
      </c>
      <c r="E1442" t="s">
        <v>116</v>
      </c>
      <c r="F1442" t="s">
        <v>540</v>
      </c>
      <c r="G1442">
        <v>48</v>
      </c>
      <c r="H1442">
        <v>232.32</v>
      </c>
      <c r="I1442" t="s">
        <v>1079</v>
      </c>
      <c r="K1442" t="b">
        <f>IF(Table1[[#This Row],[dispatch_date]]-Table1[[#This Row],[order_date]] &gt;=0, TRUE, FALSE)</f>
        <v>1</v>
      </c>
    </row>
    <row r="1443" spans="1:11" x14ac:dyDescent="0.2">
      <c r="A1443" t="s">
        <v>2030</v>
      </c>
      <c r="B1443" t="s">
        <v>1013</v>
      </c>
      <c r="C1443" s="9">
        <v>46110</v>
      </c>
      <c r="D1443" s="9">
        <v>46112</v>
      </c>
      <c r="E1443" t="s">
        <v>58</v>
      </c>
      <c r="F1443" t="s">
        <v>486</v>
      </c>
      <c r="G1443">
        <v>24</v>
      </c>
      <c r="H1443">
        <v>151.19999999999999</v>
      </c>
      <c r="I1443" t="s">
        <v>956</v>
      </c>
      <c r="K1443" t="b">
        <f>IF(Table1[[#This Row],[dispatch_date]]-Table1[[#This Row],[order_date]] &gt;=0, TRUE, FALSE)</f>
        <v>1</v>
      </c>
    </row>
    <row r="1444" spans="1:11" x14ac:dyDescent="0.2">
      <c r="A1444" t="s">
        <v>2454</v>
      </c>
      <c r="B1444" t="s">
        <v>1013</v>
      </c>
      <c r="C1444" s="9">
        <v>46110</v>
      </c>
      <c r="D1444" s="9">
        <v>46110</v>
      </c>
      <c r="E1444" t="s">
        <v>28</v>
      </c>
      <c r="F1444" t="s">
        <v>514</v>
      </c>
      <c r="G1444">
        <v>24</v>
      </c>
      <c r="H1444">
        <v>130.87</v>
      </c>
      <c r="I1444" t="s">
        <v>956</v>
      </c>
      <c r="K1444" t="b">
        <f>IF(Table1[[#This Row],[dispatch_date]]-Table1[[#This Row],[order_date]] &gt;=0, TRUE, FALSE)</f>
        <v>1</v>
      </c>
    </row>
    <row r="1445" spans="1:11" x14ac:dyDescent="0.2">
      <c r="A1445" t="s">
        <v>1398</v>
      </c>
      <c r="B1445" t="s">
        <v>914</v>
      </c>
      <c r="C1445" s="9">
        <v>46111</v>
      </c>
      <c r="D1445" s="9"/>
      <c r="E1445" t="s">
        <v>71</v>
      </c>
      <c r="G1445">
        <v>6</v>
      </c>
      <c r="H1445">
        <v>57.06</v>
      </c>
      <c r="I1445" t="s">
        <v>916</v>
      </c>
      <c r="K1445" t="b">
        <f>IF(Table1[[#This Row],[dispatch_date]]-Table1[[#This Row],[order_date]] &gt;=0, TRUE, FALSE)</f>
        <v>0</v>
      </c>
    </row>
    <row r="1446" spans="1:11" x14ac:dyDescent="0.2">
      <c r="A1446" t="s">
        <v>1557</v>
      </c>
      <c r="B1446" t="s">
        <v>1024</v>
      </c>
      <c r="C1446" s="9">
        <v>46111</v>
      </c>
      <c r="D1446" s="9"/>
      <c r="E1446" t="s">
        <v>127</v>
      </c>
      <c r="F1446" t="s">
        <v>305</v>
      </c>
      <c r="G1446">
        <v>36</v>
      </c>
      <c r="H1446">
        <v>140.22</v>
      </c>
      <c r="I1446" t="s">
        <v>938</v>
      </c>
      <c r="K1446" t="b">
        <f>IF(Table1[[#This Row],[dispatch_date]]-Table1[[#This Row],[order_date]] &gt;=0, TRUE, FALSE)</f>
        <v>0</v>
      </c>
    </row>
    <row r="1447" spans="1:11" x14ac:dyDescent="0.2">
      <c r="A1447" t="s">
        <v>1654</v>
      </c>
      <c r="B1447" t="s">
        <v>962</v>
      </c>
      <c r="C1447" s="9">
        <v>46111</v>
      </c>
      <c r="D1447" s="9">
        <v>46112</v>
      </c>
      <c r="E1447" t="s">
        <v>125</v>
      </c>
      <c r="F1447" t="s">
        <v>736</v>
      </c>
      <c r="G1447">
        <v>24</v>
      </c>
      <c r="H1447">
        <v>183.12</v>
      </c>
      <c r="I1447" t="s">
        <v>956</v>
      </c>
      <c r="K1447" t="b">
        <f>IF(Table1[[#This Row],[dispatch_date]]-Table1[[#This Row],[order_date]] &gt;=0, TRUE, FALSE)</f>
        <v>1</v>
      </c>
    </row>
    <row r="1448" spans="1:11" x14ac:dyDescent="0.2">
      <c r="A1448" t="s">
        <v>2310</v>
      </c>
      <c r="B1448" t="s">
        <v>1011</v>
      </c>
      <c r="C1448" s="9">
        <v>46111</v>
      </c>
      <c r="D1448" s="9">
        <v>46111</v>
      </c>
      <c r="E1448" t="s">
        <v>19</v>
      </c>
      <c r="G1448">
        <v>72</v>
      </c>
      <c r="H1448">
        <v>146.16</v>
      </c>
      <c r="I1448" t="s">
        <v>927</v>
      </c>
      <c r="K1448" t="b">
        <f>IF(Table1[[#This Row],[dispatch_date]]-Table1[[#This Row],[order_date]] &gt;=0, TRUE, FALSE)</f>
        <v>1</v>
      </c>
    </row>
    <row r="1449" spans="1:11" x14ac:dyDescent="0.2">
      <c r="A1449" t="s">
        <v>2833</v>
      </c>
      <c r="B1449" t="s">
        <v>989</v>
      </c>
      <c r="C1449" s="9">
        <v>46111</v>
      </c>
      <c r="D1449" s="9">
        <v>46114</v>
      </c>
      <c r="E1449" t="s">
        <v>127</v>
      </c>
      <c r="F1449" t="s">
        <v>483</v>
      </c>
      <c r="G1449">
        <v>24</v>
      </c>
      <c r="H1449">
        <v>98.4</v>
      </c>
      <c r="I1449" t="s">
        <v>916</v>
      </c>
      <c r="K1449" t="b">
        <f>IF(Table1[[#This Row],[dispatch_date]]-Table1[[#This Row],[order_date]] &gt;=0, TRUE, FALSE)</f>
        <v>1</v>
      </c>
    </row>
    <row r="1450" spans="1:11" x14ac:dyDescent="0.2">
      <c r="A1450" t="s">
        <v>1582</v>
      </c>
      <c r="B1450" t="s">
        <v>1009</v>
      </c>
      <c r="C1450" s="9">
        <v>46112</v>
      </c>
      <c r="D1450" s="9">
        <v>46114</v>
      </c>
      <c r="E1450" t="s">
        <v>19</v>
      </c>
      <c r="F1450" t="s">
        <v>646</v>
      </c>
      <c r="G1450">
        <v>48</v>
      </c>
      <c r="H1450">
        <v>97.44</v>
      </c>
      <c r="I1450" t="s">
        <v>912</v>
      </c>
      <c r="K1450" t="b">
        <f>IF(Table1[[#This Row],[dispatch_date]]-Table1[[#This Row],[order_date]] &gt;=0, TRUE, FALSE)</f>
        <v>1</v>
      </c>
    </row>
    <row r="1451" spans="1:11" x14ac:dyDescent="0.2">
      <c r="A1451" t="s">
        <v>1867</v>
      </c>
      <c r="B1451" t="s">
        <v>1011</v>
      </c>
      <c r="C1451" s="9">
        <v>46112</v>
      </c>
      <c r="D1451" s="9">
        <v>46114</v>
      </c>
      <c r="E1451" t="s">
        <v>28</v>
      </c>
      <c r="F1451" t="s">
        <v>561</v>
      </c>
      <c r="G1451">
        <v>48</v>
      </c>
      <c r="H1451">
        <v>275.52</v>
      </c>
      <c r="I1451" t="s">
        <v>912</v>
      </c>
      <c r="K1451" t="b">
        <f>IF(Table1[[#This Row],[dispatch_date]]-Table1[[#This Row],[order_date]] &gt;=0, TRUE, FALSE)</f>
        <v>1</v>
      </c>
    </row>
    <row r="1452" spans="1:11" x14ac:dyDescent="0.2">
      <c r="A1452" t="s">
        <v>2047</v>
      </c>
      <c r="B1452" t="s">
        <v>1037</v>
      </c>
      <c r="C1452" s="9">
        <v>46112</v>
      </c>
      <c r="D1452" s="9">
        <v>46113</v>
      </c>
      <c r="E1452" t="s">
        <v>95</v>
      </c>
      <c r="F1452" t="s">
        <v>294</v>
      </c>
      <c r="G1452">
        <v>72</v>
      </c>
      <c r="H1452">
        <v>269.5</v>
      </c>
      <c r="I1452" t="s">
        <v>912</v>
      </c>
      <c r="K1452" t="b">
        <f>IF(Table1[[#This Row],[dispatch_date]]-Table1[[#This Row],[order_date]] &gt;=0, TRUE, FALSE)</f>
        <v>1</v>
      </c>
    </row>
    <row r="1453" spans="1:11" x14ac:dyDescent="0.2">
      <c r="A1453" t="s">
        <v>2130</v>
      </c>
      <c r="B1453" t="s">
        <v>952</v>
      </c>
      <c r="C1453" s="9">
        <v>46112</v>
      </c>
      <c r="D1453" s="9">
        <v>46112</v>
      </c>
      <c r="E1453" t="s">
        <v>42</v>
      </c>
      <c r="F1453" t="s">
        <v>411</v>
      </c>
      <c r="G1453">
        <v>36</v>
      </c>
      <c r="H1453">
        <v>117.72</v>
      </c>
      <c r="I1453" t="s">
        <v>938</v>
      </c>
      <c r="K1453" t="b">
        <f>IF(Table1[[#This Row],[dispatch_date]]-Table1[[#This Row],[order_date]] &gt;=0, TRUE, FALSE)</f>
        <v>1</v>
      </c>
    </row>
    <row r="1454" spans="1:11" x14ac:dyDescent="0.2">
      <c r="A1454" t="s">
        <v>2387</v>
      </c>
      <c r="B1454" t="s">
        <v>998</v>
      </c>
      <c r="C1454" s="9">
        <v>46112</v>
      </c>
      <c r="D1454" s="9">
        <v>46113</v>
      </c>
      <c r="E1454" t="s">
        <v>82</v>
      </c>
      <c r="F1454" t="s">
        <v>729</v>
      </c>
      <c r="G1454">
        <v>12</v>
      </c>
      <c r="H1454">
        <v>23.64</v>
      </c>
      <c r="I1454" t="s">
        <v>938</v>
      </c>
      <c r="K1454" t="b">
        <f>IF(Table1[[#This Row],[dispatch_date]]-Table1[[#This Row],[order_date]] &gt;=0, TRUE, FALSE)</f>
        <v>1</v>
      </c>
    </row>
    <row r="1455" spans="1:11" x14ac:dyDescent="0.2">
      <c r="A1455" t="s">
        <v>2796</v>
      </c>
      <c r="B1455" t="s">
        <v>1024</v>
      </c>
      <c r="C1455" s="9">
        <v>46112</v>
      </c>
      <c r="D1455" s="9">
        <v>46113</v>
      </c>
      <c r="E1455" t="s">
        <v>71</v>
      </c>
      <c r="F1455" t="s">
        <v>782</v>
      </c>
      <c r="G1455">
        <v>6</v>
      </c>
      <c r="H1455">
        <v>57.06</v>
      </c>
      <c r="I1455" t="s">
        <v>938</v>
      </c>
      <c r="K1455" t="b">
        <f>IF(Table1[[#This Row],[dispatch_date]]-Table1[[#This Row],[order_date]] &gt;=0, TRUE, FALSE)</f>
        <v>1</v>
      </c>
    </row>
    <row r="1456" spans="1:11" x14ac:dyDescent="0.2">
      <c r="A1456" t="s">
        <v>1423</v>
      </c>
      <c r="B1456" t="s">
        <v>1080</v>
      </c>
      <c r="C1456" s="9">
        <v>46113</v>
      </c>
      <c r="D1456" s="9">
        <v>46115</v>
      </c>
      <c r="E1456" t="s">
        <v>67</v>
      </c>
      <c r="F1456" t="s">
        <v>857</v>
      </c>
      <c r="G1456">
        <v>6</v>
      </c>
      <c r="H1456">
        <v>31.8</v>
      </c>
      <c r="I1456" t="s">
        <v>916</v>
      </c>
      <c r="K1456" t="b">
        <f>IF(Table1[[#This Row],[dispatch_date]]-Table1[[#This Row],[order_date]] &gt;=0, TRUE, FALSE)</f>
        <v>1</v>
      </c>
    </row>
    <row r="1457" spans="1:11" x14ac:dyDescent="0.2">
      <c r="A1457" t="s">
        <v>1990</v>
      </c>
      <c r="B1457" t="s">
        <v>1049</v>
      </c>
      <c r="C1457" s="9">
        <v>46113</v>
      </c>
      <c r="D1457" s="9">
        <v>46113</v>
      </c>
      <c r="E1457" t="s">
        <v>25</v>
      </c>
      <c r="G1457">
        <v>24</v>
      </c>
      <c r="H1457">
        <v>133.19999999999999</v>
      </c>
      <c r="I1457" t="s">
        <v>938</v>
      </c>
      <c r="K1457" t="b">
        <f>IF(Table1[[#This Row],[dispatch_date]]-Table1[[#This Row],[order_date]] &gt;=0, TRUE, FALSE)</f>
        <v>1</v>
      </c>
    </row>
    <row r="1458" spans="1:11" x14ac:dyDescent="0.2">
      <c r="A1458" t="s">
        <v>2155</v>
      </c>
      <c r="B1458" t="s">
        <v>981</v>
      </c>
      <c r="C1458" s="9">
        <v>46113</v>
      </c>
      <c r="D1458" s="9">
        <v>46115</v>
      </c>
      <c r="E1458" t="s">
        <v>114</v>
      </c>
      <c r="F1458" t="s">
        <v>706</v>
      </c>
      <c r="G1458">
        <v>12</v>
      </c>
      <c r="H1458">
        <v>59.4</v>
      </c>
      <c r="I1458" t="s">
        <v>916</v>
      </c>
      <c r="K1458" t="b">
        <f>IF(Table1[[#This Row],[dispatch_date]]-Table1[[#This Row],[order_date]] &gt;=0, TRUE, FALSE)</f>
        <v>1</v>
      </c>
    </row>
    <row r="1459" spans="1:11" x14ac:dyDescent="0.2">
      <c r="A1459" t="s">
        <v>1394</v>
      </c>
      <c r="B1459" t="s">
        <v>951</v>
      </c>
      <c r="C1459" s="9">
        <v>46114</v>
      </c>
      <c r="D1459" s="9">
        <v>46116</v>
      </c>
      <c r="E1459" t="s">
        <v>22</v>
      </c>
      <c r="F1459" t="s">
        <v>753</v>
      </c>
      <c r="G1459">
        <v>12</v>
      </c>
      <c r="H1459">
        <v>59.64</v>
      </c>
      <c r="I1459" t="s">
        <v>956</v>
      </c>
      <c r="K1459" t="b">
        <f>IF(Table1[[#This Row],[dispatch_date]]-Table1[[#This Row],[order_date]] &gt;=0, TRUE, FALSE)</f>
        <v>1</v>
      </c>
    </row>
    <row r="1460" spans="1:11" x14ac:dyDescent="0.2">
      <c r="A1460" t="s">
        <v>1548</v>
      </c>
      <c r="B1460" t="s">
        <v>1016</v>
      </c>
      <c r="C1460" s="9">
        <v>46057</v>
      </c>
      <c r="D1460" s="9">
        <v>46058</v>
      </c>
      <c r="E1460" t="s">
        <v>93</v>
      </c>
      <c r="F1460" t="s">
        <v>853</v>
      </c>
      <c r="G1460">
        <v>12</v>
      </c>
      <c r="H1460">
        <v>33.479999999999997</v>
      </c>
      <c r="I1460" t="s">
        <v>912</v>
      </c>
      <c r="J1460" t="s">
        <v>3134</v>
      </c>
      <c r="K1460" t="b">
        <f>IF(Table1[[#This Row],[dispatch_date]]-Table1[[#This Row],[order_date]] &gt;=0, TRUE, FALSE)</f>
        <v>1</v>
      </c>
    </row>
    <row r="1461" spans="1:11" x14ac:dyDescent="0.2">
      <c r="A1461" t="s">
        <v>2173</v>
      </c>
      <c r="B1461" t="s">
        <v>1052</v>
      </c>
      <c r="C1461" s="9">
        <v>46114</v>
      </c>
      <c r="D1461" s="9">
        <v>46115</v>
      </c>
      <c r="E1461" t="s">
        <v>8</v>
      </c>
      <c r="F1461" t="s">
        <v>825</v>
      </c>
      <c r="G1461">
        <v>72</v>
      </c>
      <c r="H1461">
        <v>434.16</v>
      </c>
      <c r="I1461" t="s">
        <v>956</v>
      </c>
      <c r="K1461" t="b">
        <f>IF(Table1[[#This Row],[dispatch_date]]-Table1[[#This Row],[order_date]] &gt;=0, TRUE, FALSE)</f>
        <v>1</v>
      </c>
    </row>
    <row r="1462" spans="1:11" x14ac:dyDescent="0.2">
      <c r="A1462" t="s">
        <v>2513</v>
      </c>
      <c r="B1462" t="s">
        <v>1048</v>
      </c>
      <c r="C1462" s="9">
        <v>46114</v>
      </c>
      <c r="D1462" s="9">
        <v>46116</v>
      </c>
      <c r="E1462" t="s">
        <v>48</v>
      </c>
      <c r="F1462" t="s">
        <v>198</v>
      </c>
      <c r="G1462">
        <v>72</v>
      </c>
      <c r="H1462">
        <v>485.28</v>
      </c>
      <c r="I1462" t="s">
        <v>912</v>
      </c>
      <c r="K1462" t="b">
        <f>IF(Table1[[#This Row],[dispatch_date]]-Table1[[#This Row],[order_date]] &gt;=0, TRUE, FALSE)</f>
        <v>1</v>
      </c>
    </row>
    <row r="1463" spans="1:11" x14ac:dyDescent="0.2">
      <c r="A1463" t="s">
        <v>1418</v>
      </c>
      <c r="B1463" t="s">
        <v>942</v>
      </c>
      <c r="C1463" s="9">
        <v>46115</v>
      </c>
      <c r="D1463" s="9">
        <v>46117</v>
      </c>
      <c r="E1463" t="s">
        <v>19</v>
      </c>
      <c r="F1463" t="s">
        <v>369</v>
      </c>
      <c r="G1463">
        <v>72</v>
      </c>
      <c r="H1463">
        <v>146.16</v>
      </c>
      <c r="I1463" t="s">
        <v>916</v>
      </c>
      <c r="K1463" t="b">
        <f>IF(Table1[[#This Row],[dispatch_date]]-Table1[[#This Row],[order_date]] &gt;=0, TRUE, FALSE)</f>
        <v>1</v>
      </c>
    </row>
    <row r="1464" spans="1:11" x14ac:dyDescent="0.2">
      <c r="A1464" t="s">
        <v>1768</v>
      </c>
      <c r="B1464" t="s">
        <v>1009</v>
      </c>
      <c r="C1464" s="9">
        <v>46115</v>
      </c>
      <c r="D1464" s="9">
        <v>46118</v>
      </c>
      <c r="E1464" t="s">
        <v>44</v>
      </c>
      <c r="G1464">
        <v>48</v>
      </c>
      <c r="H1464">
        <v>275.88</v>
      </c>
      <c r="I1464" t="s">
        <v>912</v>
      </c>
      <c r="K1464" t="b">
        <f>IF(Table1[[#This Row],[dispatch_date]]-Table1[[#This Row],[order_date]] &gt;=0, TRUE, FALSE)</f>
        <v>1</v>
      </c>
    </row>
    <row r="1465" spans="1:11" x14ac:dyDescent="0.2">
      <c r="A1465" t="s">
        <v>2009</v>
      </c>
      <c r="B1465" t="s">
        <v>1080</v>
      </c>
      <c r="C1465" s="9">
        <v>46085</v>
      </c>
      <c r="D1465" s="9">
        <v>46087</v>
      </c>
      <c r="E1465" t="s">
        <v>22</v>
      </c>
      <c r="F1465" t="s">
        <v>532</v>
      </c>
      <c r="G1465">
        <v>24</v>
      </c>
      <c r="H1465">
        <v>113.32</v>
      </c>
      <c r="I1465" t="s">
        <v>916</v>
      </c>
      <c r="J1465" t="s">
        <v>3134</v>
      </c>
      <c r="K1465" t="b">
        <f>IF(Table1[[#This Row],[dispatch_date]]-Table1[[#This Row],[order_date]] &gt;=0, TRUE, FALSE)</f>
        <v>1</v>
      </c>
    </row>
    <row r="1466" spans="1:11" x14ac:dyDescent="0.2">
      <c r="A1466" t="s">
        <v>2603</v>
      </c>
      <c r="B1466" t="s">
        <v>1046</v>
      </c>
      <c r="C1466" s="9">
        <v>46115</v>
      </c>
      <c r="D1466" s="9">
        <v>46117</v>
      </c>
      <c r="E1466" t="s">
        <v>80</v>
      </c>
      <c r="F1466" t="s">
        <v>352</v>
      </c>
      <c r="G1466">
        <v>6</v>
      </c>
      <c r="H1466">
        <v>35.700000000000003</v>
      </c>
      <c r="I1466" t="s">
        <v>912</v>
      </c>
      <c r="K1466" t="b">
        <f>IF(Table1[[#This Row],[dispatch_date]]-Table1[[#This Row],[order_date]] &gt;=0, TRUE, FALSE)</f>
        <v>1</v>
      </c>
    </row>
    <row r="1467" spans="1:11" x14ac:dyDescent="0.2">
      <c r="A1467" t="s">
        <v>2807</v>
      </c>
      <c r="B1467" t="s">
        <v>965</v>
      </c>
      <c r="C1467" s="9">
        <v>46115</v>
      </c>
      <c r="D1467" s="9">
        <v>46118</v>
      </c>
      <c r="E1467" t="s">
        <v>114</v>
      </c>
      <c r="F1467" t="s">
        <v>471</v>
      </c>
      <c r="G1467">
        <v>24</v>
      </c>
      <c r="H1467">
        <v>118.8</v>
      </c>
      <c r="I1467" t="s">
        <v>956</v>
      </c>
      <c r="K1467" t="b">
        <f>IF(Table1[[#This Row],[dispatch_date]]-Table1[[#This Row],[order_date]] &gt;=0, TRUE, FALSE)</f>
        <v>1</v>
      </c>
    </row>
    <row r="1468" spans="1:11" x14ac:dyDescent="0.2">
      <c r="A1468" t="s">
        <v>1368</v>
      </c>
      <c r="B1468" t="s">
        <v>1021</v>
      </c>
      <c r="C1468" s="9">
        <v>46116</v>
      </c>
      <c r="D1468" s="9">
        <v>46116</v>
      </c>
      <c r="E1468" t="s">
        <v>19</v>
      </c>
      <c r="F1468" t="s">
        <v>417</v>
      </c>
      <c r="G1468">
        <v>24</v>
      </c>
      <c r="H1468">
        <v>48.72</v>
      </c>
      <c r="I1468" t="s">
        <v>916</v>
      </c>
      <c r="K1468" t="b">
        <f>IF(Table1[[#This Row],[dispatch_date]]-Table1[[#This Row],[order_date]] &gt;=0, TRUE, FALSE)</f>
        <v>1</v>
      </c>
    </row>
    <row r="1469" spans="1:11" x14ac:dyDescent="0.2">
      <c r="A1469" t="s">
        <v>1439</v>
      </c>
      <c r="B1469" t="s">
        <v>1037</v>
      </c>
      <c r="C1469" s="9">
        <v>46116</v>
      </c>
      <c r="D1469" s="9">
        <v>46117</v>
      </c>
      <c r="E1469" t="s">
        <v>103</v>
      </c>
      <c r="F1469" t="s">
        <v>776</v>
      </c>
      <c r="G1469">
        <v>36</v>
      </c>
      <c r="H1469">
        <v>259.56</v>
      </c>
      <c r="I1469" t="s">
        <v>938</v>
      </c>
      <c r="K1469" t="b">
        <f>IF(Table1[[#This Row],[dispatch_date]]-Table1[[#This Row],[order_date]] &gt;=0, TRUE, FALSE)</f>
        <v>1</v>
      </c>
    </row>
    <row r="1470" spans="1:11" x14ac:dyDescent="0.2">
      <c r="A1470" t="s">
        <v>1199</v>
      </c>
      <c r="B1470" t="s">
        <v>1029</v>
      </c>
      <c r="C1470" s="9">
        <v>46117</v>
      </c>
      <c r="D1470" s="9">
        <v>46119</v>
      </c>
      <c r="E1470" t="s">
        <v>123</v>
      </c>
      <c r="F1470" t="s">
        <v>721</v>
      </c>
      <c r="G1470">
        <v>24</v>
      </c>
      <c r="H1470">
        <v>159.37</v>
      </c>
      <c r="I1470" t="s">
        <v>938</v>
      </c>
      <c r="K1470" t="b">
        <f>IF(Table1[[#This Row],[dispatch_date]]-Table1[[#This Row],[order_date]] &gt;=0, TRUE, FALSE)</f>
        <v>1</v>
      </c>
    </row>
    <row r="1471" spans="1:11" x14ac:dyDescent="0.2">
      <c r="A1471" t="s">
        <v>2058</v>
      </c>
      <c r="B1471" t="s">
        <v>976</v>
      </c>
      <c r="C1471" s="9">
        <v>46117</v>
      </c>
      <c r="D1471" s="9">
        <v>46120</v>
      </c>
      <c r="E1471" t="s">
        <v>69</v>
      </c>
      <c r="F1471" t="s">
        <v>837</v>
      </c>
      <c r="G1471">
        <v>36</v>
      </c>
      <c r="H1471">
        <v>192.24</v>
      </c>
      <c r="I1471" t="s">
        <v>938</v>
      </c>
      <c r="K1471" t="b">
        <f>IF(Table1[[#This Row],[dispatch_date]]-Table1[[#This Row],[order_date]] &gt;=0, TRUE, FALSE)</f>
        <v>1</v>
      </c>
    </row>
    <row r="1472" spans="1:11" x14ac:dyDescent="0.2">
      <c r="A1472" t="s">
        <v>2146</v>
      </c>
      <c r="B1472" t="s">
        <v>991</v>
      </c>
      <c r="C1472" s="9">
        <v>46117</v>
      </c>
      <c r="D1472" s="9">
        <v>46120</v>
      </c>
      <c r="E1472" t="s">
        <v>42</v>
      </c>
      <c r="F1472" t="s">
        <v>874</v>
      </c>
      <c r="G1472">
        <v>24</v>
      </c>
      <c r="H1472">
        <v>74.56</v>
      </c>
      <c r="I1472" t="s">
        <v>956</v>
      </c>
      <c r="K1472" t="b">
        <f>IF(Table1[[#This Row],[dispatch_date]]-Table1[[#This Row],[order_date]] &gt;=0, TRUE, FALSE)</f>
        <v>1</v>
      </c>
    </row>
    <row r="1473" spans="1:11" x14ac:dyDescent="0.2">
      <c r="A1473" t="s">
        <v>2747</v>
      </c>
      <c r="B1473" t="s">
        <v>1049</v>
      </c>
      <c r="C1473" s="9">
        <v>46117</v>
      </c>
      <c r="D1473" s="9">
        <v>46120</v>
      </c>
      <c r="E1473" t="s">
        <v>93</v>
      </c>
      <c r="F1473" t="s">
        <v>686</v>
      </c>
      <c r="G1473">
        <v>36</v>
      </c>
      <c r="H1473">
        <v>95.42</v>
      </c>
      <c r="I1473" t="s">
        <v>912</v>
      </c>
      <c r="K1473" t="b">
        <f>IF(Table1[[#This Row],[dispatch_date]]-Table1[[#This Row],[order_date]] &gt;=0, TRUE, FALSE)</f>
        <v>1</v>
      </c>
    </row>
    <row r="1474" spans="1:11" x14ac:dyDescent="0.2">
      <c r="A1474" t="s">
        <v>2112</v>
      </c>
      <c r="B1474" t="s">
        <v>1052</v>
      </c>
      <c r="C1474" s="9">
        <v>46118</v>
      </c>
      <c r="D1474" s="9">
        <v>46121</v>
      </c>
      <c r="E1474" t="s">
        <v>17</v>
      </c>
      <c r="F1474" t="s">
        <v>691</v>
      </c>
      <c r="G1474">
        <v>12</v>
      </c>
      <c r="H1474">
        <v>71.88</v>
      </c>
      <c r="I1474" t="s">
        <v>956</v>
      </c>
      <c r="K1474" t="b">
        <f>IF(Table1[[#This Row],[dispatch_date]]-Table1[[#This Row],[order_date]] &gt;=0, TRUE, FALSE)</f>
        <v>1</v>
      </c>
    </row>
    <row r="1475" spans="1:11" x14ac:dyDescent="0.2">
      <c r="A1475" t="s">
        <v>2120</v>
      </c>
      <c r="B1475" t="s">
        <v>932</v>
      </c>
      <c r="C1475" s="9">
        <v>46118</v>
      </c>
      <c r="D1475" s="9">
        <v>46119</v>
      </c>
      <c r="E1475" t="s">
        <v>71</v>
      </c>
      <c r="F1475" t="s">
        <v>495</v>
      </c>
      <c r="G1475">
        <v>24</v>
      </c>
      <c r="H1475">
        <v>228.24</v>
      </c>
      <c r="I1475" t="s">
        <v>956</v>
      </c>
      <c r="K1475" t="b">
        <f>IF(Table1[[#This Row],[dispatch_date]]-Table1[[#This Row],[order_date]] &gt;=0, TRUE, FALSE)</f>
        <v>1</v>
      </c>
    </row>
    <row r="1476" spans="1:11" x14ac:dyDescent="0.2">
      <c r="A1476" t="s">
        <v>2334</v>
      </c>
      <c r="B1476" t="s">
        <v>983</v>
      </c>
      <c r="C1476" s="9">
        <v>46118</v>
      </c>
      <c r="D1476" s="9">
        <v>46121</v>
      </c>
      <c r="E1476" t="s">
        <v>33</v>
      </c>
      <c r="F1476" t="s">
        <v>681</v>
      </c>
      <c r="G1476">
        <v>36</v>
      </c>
      <c r="H1476">
        <v>79.56</v>
      </c>
      <c r="I1476" t="s">
        <v>916</v>
      </c>
      <c r="K1476" t="b">
        <f>IF(Table1[[#This Row],[dispatch_date]]-Table1[[#This Row],[order_date]] &gt;=0, TRUE, FALSE)</f>
        <v>1</v>
      </c>
    </row>
    <row r="1477" spans="1:11" x14ac:dyDescent="0.2">
      <c r="A1477" t="s">
        <v>2363</v>
      </c>
      <c r="B1477" t="s">
        <v>922</v>
      </c>
      <c r="C1477" s="9">
        <v>46118</v>
      </c>
      <c r="D1477" s="9">
        <v>46121</v>
      </c>
      <c r="E1477" t="s">
        <v>88</v>
      </c>
      <c r="F1477" t="s">
        <v>648</v>
      </c>
      <c r="G1477">
        <v>48</v>
      </c>
      <c r="H1477">
        <v>198.24</v>
      </c>
      <c r="I1477" t="s">
        <v>912</v>
      </c>
      <c r="K1477" t="b">
        <f>IF(Table1[[#This Row],[dispatch_date]]-Table1[[#This Row],[order_date]] &gt;=0, TRUE, FALSE)</f>
        <v>1</v>
      </c>
    </row>
    <row r="1478" spans="1:11" x14ac:dyDescent="0.2">
      <c r="A1478" t="s">
        <v>1252</v>
      </c>
      <c r="B1478" t="s">
        <v>1001</v>
      </c>
      <c r="C1478" s="9">
        <v>46119</v>
      </c>
      <c r="D1478" s="9">
        <v>46120</v>
      </c>
      <c r="E1478" t="s">
        <v>33</v>
      </c>
      <c r="F1478" t="s">
        <v>478</v>
      </c>
      <c r="G1478">
        <v>36</v>
      </c>
      <c r="H1478">
        <v>75.58</v>
      </c>
      <c r="I1478" t="s">
        <v>916</v>
      </c>
      <c r="K1478" t="b">
        <f>IF(Table1[[#This Row],[dispatch_date]]-Table1[[#This Row],[order_date]] &gt;=0, TRUE, FALSE)</f>
        <v>1</v>
      </c>
    </row>
    <row r="1479" spans="1:11" x14ac:dyDescent="0.2">
      <c r="A1479" t="s">
        <v>1265</v>
      </c>
      <c r="B1479" t="s">
        <v>1009</v>
      </c>
      <c r="C1479" s="9">
        <v>46119</v>
      </c>
      <c r="D1479" s="9">
        <v>46119</v>
      </c>
      <c r="E1479" t="s">
        <v>19</v>
      </c>
      <c r="G1479">
        <v>6</v>
      </c>
      <c r="H1479">
        <v>12.18</v>
      </c>
      <c r="I1479" t="s">
        <v>912</v>
      </c>
      <c r="K1479" t="b">
        <f>IF(Table1[[#This Row],[dispatch_date]]-Table1[[#This Row],[order_date]] &gt;=0, TRUE, FALSE)</f>
        <v>1</v>
      </c>
    </row>
    <row r="1480" spans="1:11" x14ac:dyDescent="0.2">
      <c r="A1480" t="s">
        <v>1293</v>
      </c>
      <c r="B1480" t="s">
        <v>1011</v>
      </c>
      <c r="C1480" s="9">
        <v>46119</v>
      </c>
      <c r="D1480" s="9">
        <v>46122</v>
      </c>
      <c r="E1480" t="s">
        <v>44</v>
      </c>
      <c r="F1480" t="s">
        <v>662</v>
      </c>
      <c r="G1480">
        <v>12</v>
      </c>
      <c r="H1480">
        <v>68.97</v>
      </c>
      <c r="I1480" t="s">
        <v>927</v>
      </c>
      <c r="K1480" t="b">
        <f>IF(Table1[[#This Row],[dispatch_date]]-Table1[[#This Row],[order_date]] &gt;=0, TRUE, FALSE)</f>
        <v>1</v>
      </c>
    </row>
    <row r="1481" spans="1:11" x14ac:dyDescent="0.2">
      <c r="A1481" t="s">
        <v>1632</v>
      </c>
      <c r="B1481" t="s">
        <v>1056</v>
      </c>
      <c r="C1481" s="9">
        <v>46119</v>
      </c>
      <c r="D1481" s="9">
        <v>46119</v>
      </c>
      <c r="E1481" t="s">
        <v>65</v>
      </c>
      <c r="G1481">
        <v>24</v>
      </c>
      <c r="H1481">
        <v>302.56</v>
      </c>
      <c r="I1481" t="s">
        <v>912</v>
      </c>
      <c r="K1481" t="b">
        <f>IF(Table1[[#This Row],[dispatch_date]]-Table1[[#This Row],[order_date]] &gt;=0, TRUE, FALSE)</f>
        <v>1</v>
      </c>
    </row>
    <row r="1482" spans="1:11" x14ac:dyDescent="0.2">
      <c r="A1482" t="s">
        <v>1705</v>
      </c>
      <c r="B1482" t="s">
        <v>910</v>
      </c>
      <c r="C1482" s="9">
        <v>46119</v>
      </c>
      <c r="D1482" s="9">
        <v>46121</v>
      </c>
      <c r="E1482" t="s">
        <v>69</v>
      </c>
      <c r="F1482" t="s">
        <v>846</v>
      </c>
      <c r="G1482">
        <v>12</v>
      </c>
      <c r="H1482">
        <v>64.08</v>
      </c>
      <c r="I1482" t="s">
        <v>912</v>
      </c>
      <c r="K1482" t="b">
        <f>IF(Table1[[#This Row],[dispatch_date]]-Table1[[#This Row],[order_date]] &gt;=0, TRUE, FALSE)</f>
        <v>1</v>
      </c>
    </row>
    <row r="1483" spans="1:11" x14ac:dyDescent="0.2">
      <c r="A1483" t="s">
        <v>1875</v>
      </c>
      <c r="B1483" t="s">
        <v>1009</v>
      </c>
      <c r="C1483" s="9">
        <v>46119</v>
      </c>
      <c r="D1483" s="9">
        <v>46120</v>
      </c>
      <c r="E1483" t="s">
        <v>125</v>
      </c>
      <c r="F1483" t="s">
        <v>491</v>
      </c>
      <c r="G1483">
        <v>48</v>
      </c>
      <c r="H1483">
        <v>366.24</v>
      </c>
      <c r="I1483" t="s">
        <v>912</v>
      </c>
      <c r="K1483" t="b">
        <f>IF(Table1[[#This Row],[dispatch_date]]-Table1[[#This Row],[order_date]] &gt;=0, TRUE, FALSE)</f>
        <v>1</v>
      </c>
    </row>
    <row r="1484" spans="1:11" x14ac:dyDescent="0.2">
      <c r="A1484" t="s">
        <v>2126</v>
      </c>
      <c r="B1484" t="s">
        <v>971</v>
      </c>
      <c r="C1484" s="9">
        <v>46120</v>
      </c>
      <c r="D1484" s="9">
        <v>46123</v>
      </c>
      <c r="E1484" t="s">
        <v>54</v>
      </c>
      <c r="F1484" t="s">
        <v>829</v>
      </c>
      <c r="G1484">
        <v>24</v>
      </c>
      <c r="H1484">
        <v>106.32</v>
      </c>
      <c r="I1484" t="s">
        <v>956</v>
      </c>
      <c r="K1484" t="b">
        <f>IF(Table1[[#This Row],[dispatch_date]]-Table1[[#This Row],[order_date]] &gt;=0, TRUE, FALSE)</f>
        <v>1</v>
      </c>
    </row>
    <row r="1485" spans="1:11" x14ac:dyDescent="0.2">
      <c r="A1485" t="s">
        <v>2573</v>
      </c>
      <c r="B1485" t="s">
        <v>1021</v>
      </c>
      <c r="C1485" s="9">
        <v>46120</v>
      </c>
      <c r="D1485" s="9">
        <v>46123</v>
      </c>
      <c r="E1485" t="s">
        <v>101</v>
      </c>
      <c r="F1485" t="s">
        <v>573</v>
      </c>
      <c r="G1485">
        <v>24</v>
      </c>
      <c r="H1485">
        <v>80.64</v>
      </c>
      <c r="I1485" t="s">
        <v>916</v>
      </c>
      <c r="K1485" t="b">
        <f>IF(Table1[[#This Row],[dispatch_date]]-Table1[[#This Row],[order_date]] &gt;=0, TRUE, FALSE)</f>
        <v>1</v>
      </c>
    </row>
    <row r="1486" spans="1:11" x14ac:dyDescent="0.2">
      <c r="A1486" t="s">
        <v>2663</v>
      </c>
      <c r="B1486" t="s">
        <v>962</v>
      </c>
      <c r="C1486" s="9">
        <v>46121</v>
      </c>
      <c r="D1486" s="9">
        <v>46123</v>
      </c>
      <c r="E1486" t="s">
        <v>84</v>
      </c>
      <c r="F1486" t="s">
        <v>757</v>
      </c>
      <c r="G1486">
        <v>36</v>
      </c>
      <c r="H1486">
        <v>80.28</v>
      </c>
      <c r="I1486" t="s">
        <v>956</v>
      </c>
      <c r="K1486" t="b">
        <f>IF(Table1[[#This Row],[dispatch_date]]-Table1[[#This Row],[order_date]] &gt;=0, TRUE, FALSE)</f>
        <v>1</v>
      </c>
    </row>
    <row r="1487" spans="1:11" x14ac:dyDescent="0.2">
      <c r="A1487" t="s">
        <v>1584</v>
      </c>
      <c r="B1487" t="s">
        <v>1056</v>
      </c>
      <c r="C1487" s="9">
        <v>46122</v>
      </c>
      <c r="D1487" s="9">
        <v>46122</v>
      </c>
      <c r="E1487" t="s">
        <v>121</v>
      </c>
      <c r="G1487">
        <v>24</v>
      </c>
      <c r="H1487">
        <v>308.16000000000003</v>
      </c>
      <c r="I1487" t="s">
        <v>912</v>
      </c>
      <c r="K1487" t="b">
        <f>IF(Table1[[#This Row],[dispatch_date]]-Table1[[#This Row],[order_date]] &gt;=0, TRUE, FALSE)</f>
        <v>1</v>
      </c>
    </row>
    <row r="1488" spans="1:11" x14ac:dyDescent="0.2">
      <c r="A1488" t="s">
        <v>1759</v>
      </c>
      <c r="B1488" t="s">
        <v>922</v>
      </c>
      <c r="C1488" s="9">
        <v>46122</v>
      </c>
      <c r="D1488" s="9">
        <v>46125</v>
      </c>
      <c r="E1488" t="s">
        <v>8</v>
      </c>
      <c r="F1488" t="s">
        <v>252</v>
      </c>
      <c r="G1488">
        <v>72</v>
      </c>
      <c r="H1488">
        <v>434.16</v>
      </c>
      <c r="I1488" t="s">
        <v>912</v>
      </c>
      <c r="K1488" t="b">
        <f>IF(Table1[[#This Row],[dispatch_date]]-Table1[[#This Row],[order_date]] &gt;=0, TRUE, FALSE)</f>
        <v>1</v>
      </c>
    </row>
    <row r="1489" spans="1:11" x14ac:dyDescent="0.2">
      <c r="A1489" t="s">
        <v>1886</v>
      </c>
      <c r="B1489" t="s">
        <v>1069</v>
      </c>
      <c r="C1489" s="9">
        <v>46122</v>
      </c>
      <c r="D1489" s="9">
        <v>46125</v>
      </c>
      <c r="E1489" t="s">
        <v>17</v>
      </c>
      <c r="G1489">
        <v>6</v>
      </c>
      <c r="H1489">
        <v>35.94</v>
      </c>
      <c r="I1489" t="s">
        <v>916</v>
      </c>
      <c r="K1489" t="b">
        <f>IF(Table1[[#This Row],[dispatch_date]]-Table1[[#This Row],[order_date]] &gt;=0, TRUE, FALSE)</f>
        <v>1</v>
      </c>
    </row>
    <row r="1490" spans="1:11" x14ac:dyDescent="0.2">
      <c r="A1490" t="s">
        <v>2145</v>
      </c>
      <c r="B1490" t="s">
        <v>968</v>
      </c>
      <c r="C1490" s="9">
        <v>46122</v>
      </c>
      <c r="D1490" s="9">
        <v>46123</v>
      </c>
      <c r="E1490" t="s">
        <v>52</v>
      </c>
      <c r="F1490" t="s">
        <v>679</v>
      </c>
      <c r="G1490">
        <v>48</v>
      </c>
      <c r="H1490">
        <v>236.64</v>
      </c>
      <c r="I1490" t="s">
        <v>938</v>
      </c>
      <c r="K1490" t="b">
        <f>IF(Table1[[#This Row],[dispatch_date]]-Table1[[#This Row],[order_date]] &gt;=0, TRUE, FALSE)</f>
        <v>1</v>
      </c>
    </row>
    <row r="1491" spans="1:11" x14ac:dyDescent="0.2">
      <c r="A1491" t="s">
        <v>2696</v>
      </c>
      <c r="B1491" t="s">
        <v>1056</v>
      </c>
      <c r="C1491" s="9">
        <v>46122</v>
      </c>
      <c r="D1491" s="9"/>
      <c r="E1491" t="s">
        <v>44</v>
      </c>
      <c r="G1491">
        <v>6</v>
      </c>
      <c r="H1491">
        <v>36.299999999999997</v>
      </c>
      <c r="I1491" t="s">
        <v>912</v>
      </c>
      <c r="K1491" t="b">
        <f>IF(Table1[[#This Row],[dispatch_date]]-Table1[[#This Row],[order_date]] &gt;=0, TRUE, FALSE)</f>
        <v>0</v>
      </c>
    </row>
    <row r="1492" spans="1:11" x14ac:dyDescent="0.2">
      <c r="A1492" t="s">
        <v>1219</v>
      </c>
      <c r="B1492" t="s">
        <v>1055</v>
      </c>
      <c r="C1492" s="9">
        <v>46123</v>
      </c>
      <c r="D1492" s="9">
        <v>46123</v>
      </c>
      <c r="E1492" t="s">
        <v>67</v>
      </c>
      <c r="F1492" t="s">
        <v>398</v>
      </c>
      <c r="G1492">
        <v>12</v>
      </c>
      <c r="H1492">
        <v>63.6</v>
      </c>
      <c r="I1492" t="s">
        <v>938</v>
      </c>
      <c r="K1492" t="b">
        <f>IF(Table1[[#This Row],[dispatch_date]]-Table1[[#This Row],[order_date]] &gt;=0, TRUE, FALSE)</f>
        <v>1</v>
      </c>
    </row>
    <row r="1493" spans="1:11" x14ac:dyDescent="0.2">
      <c r="A1493" t="s">
        <v>2064</v>
      </c>
      <c r="B1493" t="s">
        <v>958</v>
      </c>
      <c r="C1493" s="9">
        <v>46123</v>
      </c>
      <c r="D1493" s="9">
        <v>46125</v>
      </c>
      <c r="E1493" t="s">
        <v>74</v>
      </c>
      <c r="F1493" t="s">
        <v>537</v>
      </c>
      <c r="G1493">
        <v>12</v>
      </c>
      <c r="H1493">
        <v>25.8</v>
      </c>
      <c r="I1493" t="s">
        <v>956</v>
      </c>
      <c r="K1493" t="b">
        <f>IF(Table1[[#This Row],[dispatch_date]]-Table1[[#This Row],[order_date]] &gt;=0, TRUE, FALSE)</f>
        <v>1</v>
      </c>
    </row>
    <row r="1494" spans="1:11" x14ac:dyDescent="0.2">
      <c r="A1494" t="s">
        <v>1556</v>
      </c>
      <c r="B1494" t="s">
        <v>960</v>
      </c>
      <c r="C1494" s="9">
        <v>46124</v>
      </c>
      <c r="D1494" s="9">
        <v>46127</v>
      </c>
      <c r="E1494" t="s">
        <v>118</v>
      </c>
      <c r="G1494">
        <v>24</v>
      </c>
      <c r="H1494">
        <v>315.36</v>
      </c>
      <c r="I1494" t="s">
        <v>938</v>
      </c>
      <c r="K1494" t="b">
        <f>IF(Table1[[#This Row],[dispatch_date]]-Table1[[#This Row],[order_date]] &gt;=0, TRUE, FALSE)</f>
        <v>1</v>
      </c>
    </row>
    <row r="1495" spans="1:11" x14ac:dyDescent="0.2">
      <c r="A1495" t="s">
        <v>2005</v>
      </c>
      <c r="B1495" t="s">
        <v>1016</v>
      </c>
      <c r="C1495" s="9">
        <v>46124</v>
      </c>
      <c r="D1495" s="9">
        <v>46125</v>
      </c>
      <c r="E1495" t="s">
        <v>125</v>
      </c>
      <c r="F1495" t="s">
        <v>780</v>
      </c>
      <c r="G1495">
        <v>12</v>
      </c>
      <c r="H1495">
        <v>86.98</v>
      </c>
      <c r="I1495" t="s">
        <v>916</v>
      </c>
      <c r="K1495" t="b">
        <f>IF(Table1[[#This Row],[dispatch_date]]-Table1[[#This Row],[order_date]] &gt;=0, TRUE, FALSE)</f>
        <v>1</v>
      </c>
    </row>
    <row r="1496" spans="1:11" x14ac:dyDescent="0.2">
      <c r="A1496" t="s">
        <v>2225</v>
      </c>
      <c r="B1496" t="s">
        <v>985</v>
      </c>
      <c r="C1496" s="9">
        <v>46124</v>
      </c>
      <c r="D1496" s="9">
        <v>46126</v>
      </c>
      <c r="E1496" t="s">
        <v>103</v>
      </c>
      <c r="F1496" t="s">
        <v>583</v>
      </c>
      <c r="G1496">
        <v>12</v>
      </c>
      <c r="H1496">
        <v>86.52</v>
      </c>
      <c r="I1496" t="s">
        <v>1079</v>
      </c>
      <c r="K1496" t="b">
        <f>IF(Table1[[#This Row],[dispatch_date]]-Table1[[#This Row],[order_date]] &gt;=0, TRUE, FALSE)</f>
        <v>1</v>
      </c>
    </row>
    <row r="1497" spans="1:11" x14ac:dyDescent="0.2">
      <c r="A1497" t="s">
        <v>1658</v>
      </c>
      <c r="B1497" t="s">
        <v>987</v>
      </c>
      <c r="C1497" s="9">
        <v>46125</v>
      </c>
      <c r="D1497" s="9">
        <v>46127</v>
      </c>
      <c r="E1497" t="s">
        <v>86</v>
      </c>
      <c r="G1497">
        <v>72</v>
      </c>
      <c r="H1497">
        <v>229.68</v>
      </c>
      <c r="I1497" t="s">
        <v>1079</v>
      </c>
      <c r="K1497" t="b">
        <f>IF(Table1[[#This Row],[dispatch_date]]-Table1[[#This Row],[order_date]] &gt;=0, TRUE, FALSE)</f>
        <v>1</v>
      </c>
    </row>
    <row r="1498" spans="1:11" x14ac:dyDescent="0.2">
      <c r="A1498" t="s">
        <v>1478</v>
      </c>
      <c r="B1498" t="s">
        <v>996</v>
      </c>
      <c r="C1498" s="9">
        <v>46126</v>
      </c>
      <c r="D1498" s="9">
        <v>46126</v>
      </c>
      <c r="E1498" t="s">
        <v>95</v>
      </c>
      <c r="G1498">
        <v>24</v>
      </c>
      <c r="H1498">
        <v>94.56</v>
      </c>
      <c r="I1498" t="s">
        <v>956</v>
      </c>
      <c r="K1498" t="b">
        <f>IF(Table1[[#This Row],[dispatch_date]]-Table1[[#This Row],[order_date]] &gt;=0, TRUE, FALSE)</f>
        <v>1</v>
      </c>
    </row>
    <row r="1499" spans="1:11" x14ac:dyDescent="0.2">
      <c r="A1499" t="s">
        <v>1636</v>
      </c>
      <c r="B1499" t="s">
        <v>1055</v>
      </c>
      <c r="C1499" s="9">
        <v>46126</v>
      </c>
      <c r="D1499" s="9">
        <v>46129</v>
      </c>
      <c r="E1499" t="s">
        <v>19</v>
      </c>
      <c r="F1499" t="s">
        <v>851</v>
      </c>
      <c r="G1499">
        <v>12</v>
      </c>
      <c r="H1499">
        <v>24.36</v>
      </c>
      <c r="I1499" t="s">
        <v>938</v>
      </c>
      <c r="K1499" t="b">
        <f>IF(Table1[[#This Row],[dispatch_date]]-Table1[[#This Row],[order_date]] &gt;=0, TRUE, FALSE)</f>
        <v>1</v>
      </c>
    </row>
    <row r="1500" spans="1:11" x14ac:dyDescent="0.2">
      <c r="A1500" t="s">
        <v>1567</v>
      </c>
      <c r="B1500" t="s">
        <v>996</v>
      </c>
      <c r="C1500" s="9">
        <v>46127</v>
      </c>
      <c r="D1500" s="9">
        <v>46129</v>
      </c>
      <c r="E1500" t="s">
        <v>56</v>
      </c>
      <c r="F1500" t="s">
        <v>606</v>
      </c>
      <c r="G1500">
        <v>6</v>
      </c>
      <c r="H1500">
        <v>35.28</v>
      </c>
      <c r="I1500" t="s">
        <v>956</v>
      </c>
      <c r="K1500" t="b">
        <f>IF(Table1[[#This Row],[dispatch_date]]-Table1[[#This Row],[order_date]] &gt;=0, TRUE, FALSE)</f>
        <v>1</v>
      </c>
    </row>
    <row r="1501" spans="1:11" x14ac:dyDescent="0.2">
      <c r="A1501" t="s">
        <v>1624</v>
      </c>
      <c r="B1501" t="s">
        <v>1069</v>
      </c>
      <c r="C1501" s="9">
        <v>46127</v>
      </c>
      <c r="D1501" s="9">
        <v>46129</v>
      </c>
      <c r="E1501" t="s">
        <v>44</v>
      </c>
      <c r="F1501" t="s">
        <v>349</v>
      </c>
      <c r="G1501">
        <v>6</v>
      </c>
      <c r="H1501">
        <v>36.299999999999997</v>
      </c>
      <c r="I1501" t="s">
        <v>956</v>
      </c>
      <c r="K1501" t="b">
        <f>IF(Table1[[#This Row],[dispatch_date]]-Table1[[#This Row],[order_date]] &gt;=0, TRUE, FALSE)</f>
        <v>1</v>
      </c>
    </row>
    <row r="1502" spans="1:11" x14ac:dyDescent="0.2">
      <c r="A1502" t="s">
        <v>2084</v>
      </c>
      <c r="B1502" t="s">
        <v>996</v>
      </c>
      <c r="C1502" s="9">
        <v>46127</v>
      </c>
      <c r="D1502" s="9">
        <v>46129</v>
      </c>
      <c r="E1502" t="s">
        <v>110</v>
      </c>
      <c r="G1502">
        <v>6</v>
      </c>
      <c r="H1502">
        <v>19.62</v>
      </c>
      <c r="I1502" t="s">
        <v>956</v>
      </c>
      <c r="K1502" t="b">
        <f>IF(Table1[[#This Row],[dispatch_date]]-Table1[[#This Row],[order_date]] &gt;=0, TRUE, FALSE)</f>
        <v>1</v>
      </c>
    </row>
    <row r="1503" spans="1:11" x14ac:dyDescent="0.2">
      <c r="A1503" t="s">
        <v>2107</v>
      </c>
      <c r="B1503" t="s">
        <v>987</v>
      </c>
      <c r="C1503" s="9">
        <v>46127</v>
      </c>
      <c r="D1503" s="9">
        <v>46130</v>
      </c>
      <c r="E1503" t="s">
        <v>67</v>
      </c>
      <c r="F1503" t="s">
        <v>857</v>
      </c>
      <c r="G1503">
        <v>24</v>
      </c>
      <c r="H1503">
        <v>127.2</v>
      </c>
      <c r="I1503" t="s">
        <v>927</v>
      </c>
      <c r="K1503" t="b">
        <f>IF(Table1[[#This Row],[dispatch_date]]-Table1[[#This Row],[order_date]] &gt;=0, TRUE, FALSE)</f>
        <v>1</v>
      </c>
    </row>
    <row r="1504" spans="1:11" x14ac:dyDescent="0.2">
      <c r="A1504" t="s">
        <v>2748</v>
      </c>
      <c r="B1504" t="s">
        <v>996</v>
      </c>
      <c r="C1504" s="9">
        <v>46127</v>
      </c>
      <c r="D1504" s="9">
        <v>46127</v>
      </c>
      <c r="E1504" t="s">
        <v>25</v>
      </c>
      <c r="F1504" t="s">
        <v>790</v>
      </c>
      <c r="G1504">
        <v>6</v>
      </c>
      <c r="H1504">
        <v>33.299999999999997</v>
      </c>
      <c r="I1504" t="s">
        <v>956</v>
      </c>
      <c r="K1504" t="b">
        <f>IF(Table1[[#This Row],[dispatch_date]]-Table1[[#This Row],[order_date]] &gt;=0, TRUE, FALSE)</f>
        <v>1</v>
      </c>
    </row>
    <row r="1505" spans="1:11" x14ac:dyDescent="0.2">
      <c r="A1505" t="s">
        <v>1412</v>
      </c>
      <c r="B1505" t="s">
        <v>954</v>
      </c>
      <c r="C1505" s="9">
        <v>46128</v>
      </c>
      <c r="D1505" s="9">
        <v>46130</v>
      </c>
      <c r="E1505" t="s">
        <v>114</v>
      </c>
      <c r="F1505" t="s">
        <v>706</v>
      </c>
      <c r="G1505">
        <v>36</v>
      </c>
      <c r="H1505">
        <v>169.29</v>
      </c>
      <c r="I1505" t="s">
        <v>956</v>
      </c>
      <c r="K1505" t="b">
        <f>IF(Table1[[#This Row],[dispatch_date]]-Table1[[#This Row],[order_date]] &gt;=0, TRUE, FALSE)</f>
        <v>1</v>
      </c>
    </row>
    <row r="1506" spans="1:11" x14ac:dyDescent="0.2">
      <c r="A1506" t="s">
        <v>2178</v>
      </c>
      <c r="B1506" t="s">
        <v>987</v>
      </c>
      <c r="C1506" s="9">
        <v>46128</v>
      </c>
      <c r="D1506" s="9">
        <v>46129</v>
      </c>
      <c r="E1506" t="s">
        <v>95</v>
      </c>
      <c r="G1506">
        <v>72</v>
      </c>
      <c r="H1506">
        <v>283.68</v>
      </c>
      <c r="I1506" t="s">
        <v>938</v>
      </c>
      <c r="K1506" t="b">
        <f>IF(Table1[[#This Row],[dispatch_date]]-Table1[[#This Row],[order_date]] &gt;=0, TRUE, FALSE)</f>
        <v>1</v>
      </c>
    </row>
    <row r="1507" spans="1:11" x14ac:dyDescent="0.2">
      <c r="A1507" t="s">
        <v>2689</v>
      </c>
      <c r="B1507" t="s">
        <v>1046</v>
      </c>
      <c r="C1507" s="9">
        <v>46128</v>
      </c>
      <c r="D1507" s="9">
        <v>46129</v>
      </c>
      <c r="E1507" t="s">
        <v>33</v>
      </c>
      <c r="F1507" t="s">
        <v>377</v>
      </c>
      <c r="G1507">
        <v>48</v>
      </c>
      <c r="H1507">
        <v>106.08</v>
      </c>
      <c r="I1507" t="s">
        <v>912</v>
      </c>
      <c r="K1507" t="b">
        <f>IF(Table1[[#This Row],[dispatch_date]]-Table1[[#This Row],[order_date]] &gt;=0, TRUE, FALSE)</f>
        <v>1</v>
      </c>
    </row>
    <row r="1508" spans="1:11" x14ac:dyDescent="0.2">
      <c r="A1508" t="s">
        <v>2709</v>
      </c>
      <c r="B1508" t="s">
        <v>1034</v>
      </c>
      <c r="C1508" s="9">
        <v>46128</v>
      </c>
      <c r="D1508" s="9">
        <v>46129</v>
      </c>
      <c r="E1508" t="s">
        <v>125</v>
      </c>
      <c r="F1508" t="s">
        <v>519</v>
      </c>
      <c r="G1508">
        <v>6</v>
      </c>
      <c r="H1508">
        <v>45.78</v>
      </c>
      <c r="I1508" t="s">
        <v>938</v>
      </c>
      <c r="K1508" t="b">
        <f>IF(Table1[[#This Row],[dispatch_date]]-Table1[[#This Row],[order_date]] &gt;=0, TRUE, FALSE)</f>
        <v>1</v>
      </c>
    </row>
    <row r="1509" spans="1:11" x14ac:dyDescent="0.2">
      <c r="A1509" t="s">
        <v>1140</v>
      </c>
      <c r="B1509" t="s">
        <v>960</v>
      </c>
      <c r="C1509" s="9">
        <v>46129</v>
      </c>
      <c r="D1509" s="9">
        <v>46131</v>
      </c>
      <c r="E1509" t="s">
        <v>99</v>
      </c>
      <c r="F1509" t="s">
        <v>763</v>
      </c>
      <c r="G1509">
        <v>48</v>
      </c>
      <c r="H1509">
        <v>354.72</v>
      </c>
      <c r="I1509" t="s">
        <v>938</v>
      </c>
      <c r="K1509" t="b">
        <f>IF(Table1[[#This Row],[dispatch_date]]-Table1[[#This Row],[order_date]] &gt;=0, TRUE, FALSE)</f>
        <v>1</v>
      </c>
    </row>
    <row r="1510" spans="1:11" x14ac:dyDescent="0.2">
      <c r="A1510" t="s">
        <v>1201</v>
      </c>
      <c r="B1510" t="s">
        <v>922</v>
      </c>
      <c r="C1510" s="9">
        <v>46129</v>
      </c>
      <c r="D1510" s="9">
        <v>46131</v>
      </c>
      <c r="E1510" t="s">
        <v>88</v>
      </c>
      <c r="F1510" t="s">
        <v>883</v>
      </c>
      <c r="G1510">
        <v>48</v>
      </c>
      <c r="H1510">
        <v>188.33</v>
      </c>
      <c r="I1510" t="s">
        <v>912</v>
      </c>
      <c r="K1510" t="b">
        <f>IF(Table1[[#This Row],[dispatch_date]]-Table1[[#This Row],[order_date]] &gt;=0, TRUE, FALSE)</f>
        <v>1</v>
      </c>
    </row>
    <row r="1511" spans="1:11" x14ac:dyDescent="0.2">
      <c r="A1511" t="s">
        <v>1341</v>
      </c>
      <c r="B1511" t="s">
        <v>958</v>
      </c>
      <c r="C1511" s="9">
        <v>46129</v>
      </c>
      <c r="D1511" s="9"/>
      <c r="E1511" t="s">
        <v>38</v>
      </c>
      <c r="F1511" t="s">
        <v>889</v>
      </c>
      <c r="G1511">
        <v>24</v>
      </c>
      <c r="H1511">
        <v>122.4</v>
      </c>
      <c r="I1511" t="s">
        <v>956</v>
      </c>
      <c r="K1511" t="b">
        <f>IF(Table1[[#This Row],[dispatch_date]]-Table1[[#This Row],[order_date]] &gt;=0, TRUE, FALSE)</f>
        <v>0</v>
      </c>
    </row>
    <row r="1512" spans="1:11" x14ac:dyDescent="0.2">
      <c r="A1512" t="s">
        <v>1472</v>
      </c>
      <c r="B1512" t="s">
        <v>1076</v>
      </c>
      <c r="C1512" s="9">
        <v>46129</v>
      </c>
      <c r="D1512" s="9">
        <v>46131</v>
      </c>
      <c r="E1512" t="s">
        <v>33</v>
      </c>
      <c r="F1512" t="s">
        <v>831</v>
      </c>
      <c r="G1512">
        <v>36</v>
      </c>
      <c r="H1512">
        <v>79.56</v>
      </c>
      <c r="I1512" t="s">
        <v>912</v>
      </c>
      <c r="K1512" t="b">
        <f>IF(Table1[[#This Row],[dispatch_date]]-Table1[[#This Row],[order_date]] &gt;=0, TRUE, FALSE)</f>
        <v>1</v>
      </c>
    </row>
    <row r="1513" spans="1:11" x14ac:dyDescent="0.2">
      <c r="A1513" t="s">
        <v>2555</v>
      </c>
      <c r="B1513" t="s">
        <v>1009</v>
      </c>
      <c r="C1513" s="9">
        <v>46129</v>
      </c>
      <c r="D1513" s="9">
        <v>46132</v>
      </c>
      <c r="E1513" t="s">
        <v>42</v>
      </c>
      <c r="F1513" t="s">
        <v>695</v>
      </c>
      <c r="G1513">
        <v>12</v>
      </c>
      <c r="H1513">
        <v>39.24</v>
      </c>
      <c r="I1513" t="s">
        <v>912</v>
      </c>
      <c r="K1513" t="b">
        <f>IF(Table1[[#This Row],[dispatch_date]]-Table1[[#This Row],[order_date]] &gt;=0, TRUE, FALSE)</f>
        <v>1</v>
      </c>
    </row>
    <row r="1514" spans="1:11" x14ac:dyDescent="0.2">
      <c r="A1514" t="s">
        <v>2605</v>
      </c>
      <c r="B1514" t="s">
        <v>1061</v>
      </c>
      <c r="C1514" s="9">
        <v>46129</v>
      </c>
      <c r="D1514" s="9">
        <v>46129</v>
      </c>
      <c r="E1514" t="s">
        <v>74</v>
      </c>
      <c r="F1514" t="s">
        <v>827</v>
      </c>
      <c r="G1514">
        <v>24</v>
      </c>
      <c r="H1514">
        <v>51.6</v>
      </c>
      <c r="I1514" t="s">
        <v>912</v>
      </c>
      <c r="K1514" t="b">
        <f>IF(Table1[[#This Row],[dispatch_date]]-Table1[[#This Row],[order_date]] &gt;=0, TRUE, FALSE)</f>
        <v>1</v>
      </c>
    </row>
    <row r="1515" spans="1:11" x14ac:dyDescent="0.2">
      <c r="A1515" t="s">
        <v>2687</v>
      </c>
      <c r="B1515" t="s">
        <v>1072</v>
      </c>
      <c r="C1515" s="9">
        <v>46129</v>
      </c>
      <c r="D1515" s="9">
        <v>46132</v>
      </c>
      <c r="E1515" t="s">
        <v>30</v>
      </c>
      <c r="F1515" t="s">
        <v>872</v>
      </c>
      <c r="G1515">
        <v>12</v>
      </c>
      <c r="H1515">
        <v>28.8</v>
      </c>
      <c r="I1515" t="s">
        <v>956</v>
      </c>
      <c r="K1515" t="b">
        <f>IF(Table1[[#This Row],[dispatch_date]]-Table1[[#This Row],[order_date]] &gt;=0, TRUE, FALSE)</f>
        <v>1</v>
      </c>
    </row>
    <row r="1516" spans="1:11" x14ac:dyDescent="0.2">
      <c r="A1516" t="s">
        <v>1671</v>
      </c>
      <c r="B1516" t="s">
        <v>985</v>
      </c>
      <c r="C1516" s="9">
        <v>46130</v>
      </c>
      <c r="D1516" s="9">
        <v>46130</v>
      </c>
      <c r="E1516" t="s">
        <v>63</v>
      </c>
      <c r="F1516" t="s">
        <v>297</v>
      </c>
      <c r="G1516">
        <v>12</v>
      </c>
      <c r="H1516">
        <v>111.72</v>
      </c>
      <c r="I1516" t="s">
        <v>1079</v>
      </c>
      <c r="K1516" t="b">
        <f>IF(Table1[[#This Row],[dispatch_date]]-Table1[[#This Row],[order_date]] &gt;=0, TRUE, FALSE)</f>
        <v>1</v>
      </c>
    </row>
    <row r="1517" spans="1:11" x14ac:dyDescent="0.2">
      <c r="A1517" t="s">
        <v>2261</v>
      </c>
      <c r="B1517" t="s">
        <v>1060</v>
      </c>
      <c r="C1517" s="9">
        <v>46130</v>
      </c>
      <c r="D1517" s="9"/>
      <c r="E1517" t="s">
        <v>97</v>
      </c>
      <c r="F1517" t="s">
        <v>279</v>
      </c>
      <c r="G1517">
        <v>36</v>
      </c>
      <c r="H1517">
        <v>193.68</v>
      </c>
      <c r="I1517" t="s">
        <v>956</v>
      </c>
      <c r="K1517" t="b">
        <f>IF(Table1[[#This Row],[dispatch_date]]-Table1[[#This Row],[order_date]] &gt;=0, TRUE, FALSE)</f>
        <v>0</v>
      </c>
    </row>
    <row r="1518" spans="1:11" x14ac:dyDescent="0.2">
      <c r="A1518" t="s">
        <v>1309</v>
      </c>
      <c r="B1518" t="s">
        <v>989</v>
      </c>
      <c r="C1518" s="9">
        <v>46131</v>
      </c>
      <c r="D1518" s="9">
        <v>46133</v>
      </c>
      <c r="E1518" t="s">
        <v>17</v>
      </c>
      <c r="F1518" t="s">
        <v>568</v>
      </c>
      <c r="G1518">
        <v>12</v>
      </c>
      <c r="H1518">
        <v>71.88</v>
      </c>
      <c r="I1518" t="s">
        <v>916</v>
      </c>
      <c r="K1518" t="b">
        <f>IF(Table1[[#This Row],[dispatch_date]]-Table1[[#This Row],[order_date]] &gt;=0, TRUE, FALSE)</f>
        <v>1</v>
      </c>
    </row>
    <row r="1519" spans="1:11" x14ac:dyDescent="0.2">
      <c r="A1519" t="s">
        <v>1329</v>
      </c>
      <c r="B1519" t="s">
        <v>1016</v>
      </c>
      <c r="C1519" s="9">
        <v>46131</v>
      </c>
      <c r="D1519" s="9">
        <v>46132</v>
      </c>
      <c r="E1519" t="s">
        <v>123</v>
      </c>
      <c r="F1519" t="s">
        <v>855</v>
      </c>
      <c r="G1519">
        <v>36</v>
      </c>
      <c r="H1519">
        <v>251.64</v>
      </c>
      <c r="I1519" t="s">
        <v>912</v>
      </c>
      <c r="K1519" t="b">
        <f>IF(Table1[[#This Row],[dispatch_date]]-Table1[[#This Row],[order_date]] &gt;=0, TRUE, FALSE)</f>
        <v>1</v>
      </c>
    </row>
    <row r="1520" spans="1:11" x14ac:dyDescent="0.2">
      <c r="A1520" t="s">
        <v>1400</v>
      </c>
      <c r="B1520" t="s">
        <v>1021</v>
      </c>
      <c r="C1520" s="9">
        <v>46131</v>
      </c>
      <c r="D1520" s="9">
        <v>46131</v>
      </c>
      <c r="E1520" t="s">
        <v>121</v>
      </c>
      <c r="G1520">
        <v>24</v>
      </c>
      <c r="H1520">
        <v>308.16000000000003</v>
      </c>
      <c r="I1520" t="s">
        <v>916</v>
      </c>
      <c r="K1520" t="b">
        <f>IF(Table1[[#This Row],[dispatch_date]]-Table1[[#This Row],[order_date]] &gt;=0, TRUE, FALSE)</f>
        <v>1</v>
      </c>
    </row>
    <row r="1521" spans="1:11" x14ac:dyDescent="0.2">
      <c r="A1521" t="s">
        <v>1563</v>
      </c>
      <c r="B1521" t="s">
        <v>971</v>
      </c>
      <c r="C1521" s="9">
        <v>46131</v>
      </c>
      <c r="D1521" s="9">
        <v>46131</v>
      </c>
      <c r="E1521" t="s">
        <v>25</v>
      </c>
      <c r="F1521" t="s">
        <v>420</v>
      </c>
      <c r="G1521">
        <v>24</v>
      </c>
      <c r="H1521">
        <v>126.54</v>
      </c>
      <c r="I1521" t="s">
        <v>956</v>
      </c>
      <c r="K1521" t="b">
        <f>IF(Table1[[#This Row],[dispatch_date]]-Table1[[#This Row],[order_date]] &gt;=0, TRUE, FALSE)</f>
        <v>1</v>
      </c>
    </row>
    <row r="1522" spans="1:11" x14ac:dyDescent="0.2">
      <c r="A1522" t="s">
        <v>2016</v>
      </c>
      <c r="B1522" t="s">
        <v>932</v>
      </c>
      <c r="C1522" s="9">
        <v>46131</v>
      </c>
      <c r="D1522" s="9">
        <v>46131</v>
      </c>
      <c r="E1522" t="s">
        <v>36</v>
      </c>
      <c r="G1522">
        <v>12</v>
      </c>
      <c r="H1522">
        <v>19.489999999999998</v>
      </c>
      <c r="I1522" t="s">
        <v>956</v>
      </c>
      <c r="K1522" t="b">
        <f>IF(Table1[[#This Row],[dispatch_date]]-Table1[[#This Row],[order_date]] &gt;=0, TRUE, FALSE)</f>
        <v>1</v>
      </c>
    </row>
    <row r="1523" spans="1:11" x14ac:dyDescent="0.2">
      <c r="A1523" t="s">
        <v>1349</v>
      </c>
      <c r="B1523" t="s">
        <v>1006</v>
      </c>
      <c r="C1523" s="9">
        <v>46132</v>
      </c>
      <c r="D1523" s="9">
        <v>46133</v>
      </c>
      <c r="E1523" t="s">
        <v>93</v>
      </c>
      <c r="F1523" t="s">
        <v>689</v>
      </c>
      <c r="G1523">
        <v>36</v>
      </c>
      <c r="H1523">
        <v>100.44</v>
      </c>
      <c r="I1523" t="s">
        <v>956</v>
      </c>
      <c r="K1523" t="b">
        <f>IF(Table1[[#This Row],[dispatch_date]]-Table1[[#This Row],[order_date]] &gt;=0, TRUE, FALSE)</f>
        <v>1</v>
      </c>
    </row>
    <row r="1524" spans="1:11" x14ac:dyDescent="0.2">
      <c r="A1524" t="s">
        <v>1714</v>
      </c>
      <c r="B1524" t="s">
        <v>960</v>
      </c>
      <c r="C1524" s="9">
        <v>46132</v>
      </c>
      <c r="D1524" s="9">
        <v>46132</v>
      </c>
      <c r="E1524" t="s">
        <v>30</v>
      </c>
      <c r="F1524" t="s">
        <v>613</v>
      </c>
      <c r="G1524">
        <v>72</v>
      </c>
      <c r="H1524">
        <v>172.8</v>
      </c>
      <c r="I1524" t="s">
        <v>938</v>
      </c>
      <c r="K1524" t="b">
        <f>IF(Table1[[#This Row],[dispatch_date]]-Table1[[#This Row],[order_date]] &gt;=0, TRUE, FALSE)</f>
        <v>1</v>
      </c>
    </row>
    <row r="1525" spans="1:11" x14ac:dyDescent="0.2">
      <c r="A1525" t="s">
        <v>1264</v>
      </c>
      <c r="B1525" t="s">
        <v>945</v>
      </c>
      <c r="C1525" s="9">
        <v>46134</v>
      </c>
      <c r="D1525" s="9">
        <v>46134</v>
      </c>
      <c r="E1525" t="s">
        <v>82</v>
      </c>
      <c r="F1525" t="s">
        <v>346</v>
      </c>
      <c r="G1525">
        <v>6</v>
      </c>
      <c r="H1525">
        <v>11.82</v>
      </c>
      <c r="I1525" t="s">
        <v>938</v>
      </c>
      <c r="K1525" t="b">
        <f>IF(Table1[[#This Row],[dispatch_date]]-Table1[[#This Row],[order_date]] &gt;=0, TRUE, FALSE)</f>
        <v>1</v>
      </c>
    </row>
    <row r="1526" spans="1:11" x14ac:dyDescent="0.2">
      <c r="A1526" t="s">
        <v>1995</v>
      </c>
      <c r="B1526" t="s">
        <v>1029</v>
      </c>
      <c r="C1526" s="9">
        <v>46135</v>
      </c>
      <c r="D1526" s="9">
        <v>46135</v>
      </c>
      <c r="E1526" t="s">
        <v>28</v>
      </c>
      <c r="F1526" t="s">
        <v>329</v>
      </c>
      <c r="G1526">
        <v>12</v>
      </c>
      <c r="H1526">
        <v>65.44</v>
      </c>
      <c r="I1526" t="s">
        <v>938</v>
      </c>
      <c r="K1526" t="b">
        <f>IF(Table1[[#This Row],[dispatch_date]]-Table1[[#This Row],[order_date]] &gt;=0, TRUE, FALSE)</f>
        <v>1</v>
      </c>
    </row>
    <row r="1527" spans="1:11" x14ac:dyDescent="0.2">
      <c r="A1527" t="s">
        <v>2230</v>
      </c>
      <c r="B1527" t="s">
        <v>996</v>
      </c>
      <c r="C1527" s="9">
        <v>46135</v>
      </c>
      <c r="D1527" s="9">
        <v>46138</v>
      </c>
      <c r="E1527" t="s">
        <v>25</v>
      </c>
      <c r="F1527" t="s">
        <v>643</v>
      </c>
      <c r="G1527">
        <v>24</v>
      </c>
      <c r="H1527">
        <v>133.19999999999999</v>
      </c>
      <c r="I1527" t="s">
        <v>956</v>
      </c>
      <c r="K1527" t="b">
        <f>IF(Table1[[#This Row],[dispatch_date]]-Table1[[#This Row],[order_date]] &gt;=0, TRUE, FALSE)</f>
        <v>1</v>
      </c>
    </row>
    <row r="1528" spans="1:11" x14ac:dyDescent="0.2">
      <c r="A1528" t="s">
        <v>2317</v>
      </c>
      <c r="B1528" t="s">
        <v>922</v>
      </c>
      <c r="C1528" s="9">
        <v>46135</v>
      </c>
      <c r="D1528" s="9">
        <v>46138</v>
      </c>
      <c r="E1528" t="s">
        <v>48</v>
      </c>
      <c r="F1528" t="s">
        <v>198</v>
      </c>
      <c r="G1528">
        <v>36</v>
      </c>
      <c r="H1528">
        <v>242.64</v>
      </c>
      <c r="I1528" t="s">
        <v>912</v>
      </c>
      <c r="K1528" t="b">
        <f>IF(Table1[[#This Row],[dispatch_date]]-Table1[[#This Row],[order_date]] &gt;=0, TRUE, FALSE)</f>
        <v>1</v>
      </c>
    </row>
    <row r="1529" spans="1:11" x14ac:dyDescent="0.2">
      <c r="A1529" t="s">
        <v>2452</v>
      </c>
      <c r="B1529" t="s">
        <v>914</v>
      </c>
      <c r="C1529" s="9">
        <v>46135</v>
      </c>
      <c r="D1529" s="9">
        <v>46135</v>
      </c>
      <c r="E1529" t="s">
        <v>80</v>
      </c>
      <c r="F1529" t="s">
        <v>352</v>
      </c>
      <c r="G1529">
        <v>24</v>
      </c>
      <c r="H1529">
        <v>142.80000000000001</v>
      </c>
      <c r="I1529" t="s">
        <v>916</v>
      </c>
      <c r="K1529" t="b">
        <f>IF(Table1[[#This Row],[dispatch_date]]-Table1[[#This Row],[order_date]] &gt;=0, TRUE, FALSE)</f>
        <v>1</v>
      </c>
    </row>
    <row r="1530" spans="1:11" x14ac:dyDescent="0.2">
      <c r="A1530" t="s">
        <v>2628</v>
      </c>
      <c r="B1530" t="s">
        <v>1004</v>
      </c>
      <c r="C1530" s="9">
        <v>46135</v>
      </c>
      <c r="D1530" s="9"/>
      <c r="E1530" t="s">
        <v>71</v>
      </c>
      <c r="F1530" t="s">
        <v>881</v>
      </c>
      <c r="G1530">
        <v>24</v>
      </c>
      <c r="H1530">
        <v>228.24</v>
      </c>
      <c r="I1530" t="s">
        <v>927</v>
      </c>
      <c r="K1530" t="b">
        <f>IF(Table1[[#This Row],[dispatch_date]]-Table1[[#This Row],[order_date]] &gt;=0, TRUE, FALSE)</f>
        <v>0</v>
      </c>
    </row>
    <row r="1531" spans="1:11" x14ac:dyDescent="0.2">
      <c r="A1531" t="s">
        <v>1516</v>
      </c>
      <c r="B1531" t="s">
        <v>987</v>
      </c>
      <c r="C1531" s="9">
        <v>46136</v>
      </c>
      <c r="D1531" s="9">
        <v>46139</v>
      </c>
      <c r="E1531" t="s">
        <v>86</v>
      </c>
      <c r="F1531" t="s">
        <v>666</v>
      </c>
      <c r="G1531">
        <v>12</v>
      </c>
      <c r="H1531">
        <v>36.369999999999997</v>
      </c>
      <c r="I1531" t="s">
        <v>1079</v>
      </c>
      <c r="K1531" t="b">
        <f>IF(Table1[[#This Row],[dispatch_date]]-Table1[[#This Row],[order_date]] &gt;=0, TRUE, FALSE)</f>
        <v>1</v>
      </c>
    </row>
    <row r="1532" spans="1:11" x14ac:dyDescent="0.2">
      <c r="A1532" t="s">
        <v>1746</v>
      </c>
      <c r="B1532" t="s">
        <v>981</v>
      </c>
      <c r="C1532" s="9">
        <v>46136</v>
      </c>
      <c r="D1532" s="9">
        <v>46137</v>
      </c>
      <c r="E1532" t="s">
        <v>25</v>
      </c>
      <c r="F1532" t="s">
        <v>420</v>
      </c>
      <c r="G1532">
        <v>6</v>
      </c>
      <c r="H1532">
        <v>33.299999999999997</v>
      </c>
      <c r="I1532" t="s">
        <v>916</v>
      </c>
      <c r="K1532" t="b">
        <f>IF(Table1[[#This Row],[dispatch_date]]-Table1[[#This Row],[order_date]] &gt;=0, TRUE, FALSE)</f>
        <v>1</v>
      </c>
    </row>
    <row r="1533" spans="1:11" x14ac:dyDescent="0.2">
      <c r="A1533" t="s">
        <v>2220</v>
      </c>
      <c r="B1533" t="s">
        <v>1049</v>
      </c>
      <c r="C1533" s="9">
        <v>46136</v>
      </c>
      <c r="D1533" s="9">
        <v>46136</v>
      </c>
      <c r="E1533" t="s">
        <v>56</v>
      </c>
      <c r="F1533" t="s">
        <v>761</v>
      </c>
      <c r="G1533">
        <v>36</v>
      </c>
      <c r="H1533">
        <v>211.68</v>
      </c>
      <c r="I1533" t="s">
        <v>938</v>
      </c>
      <c r="K1533" t="b">
        <f>IF(Table1[[#This Row],[dispatch_date]]-Table1[[#This Row],[order_date]] &gt;=0, TRUE, FALSE)</f>
        <v>1</v>
      </c>
    </row>
    <row r="1534" spans="1:11" x14ac:dyDescent="0.2">
      <c r="A1534" t="s">
        <v>2268</v>
      </c>
      <c r="B1534" t="s">
        <v>1042</v>
      </c>
      <c r="C1534" s="9">
        <v>46136</v>
      </c>
      <c r="D1534" s="9">
        <v>46137</v>
      </c>
      <c r="E1534" t="s">
        <v>95</v>
      </c>
      <c r="G1534">
        <v>6</v>
      </c>
      <c r="H1534">
        <v>23.64</v>
      </c>
      <c r="I1534" t="s">
        <v>1079</v>
      </c>
      <c r="K1534" t="b">
        <f>IF(Table1[[#This Row],[dispatch_date]]-Table1[[#This Row],[order_date]] &gt;=0, TRUE, FALSE)</f>
        <v>1</v>
      </c>
    </row>
    <row r="1535" spans="1:11" x14ac:dyDescent="0.2">
      <c r="A1535" t="s">
        <v>2359</v>
      </c>
      <c r="B1535" t="s">
        <v>952</v>
      </c>
      <c r="C1535" s="9">
        <v>46136</v>
      </c>
      <c r="D1535" s="9">
        <v>46137</v>
      </c>
      <c r="E1535" t="s">
        <v>80</v>
      </c>
      <c r="F1535" t="s">
        <v>352</v>
      </c>
      <c r="G1535">
        <v>6</v>
      </c>
      <c r="H1535">
        <v>35.700000000000003</v>
      </c>
      <c r="I1535" t="s">
        <v>927</v>
      </c>
      <c r="K1535" t="b">
        <f>IF(Table1[[#This Row],[dispatch_date]]-Table1[[#This Row],[order_date]] &gt;=0, TRUE, FALSE)</f>
        <v>1</v>
      </c>
    </row>
    <row r="1536" spans="1:11" x14ac:dyDescent="0.2">
      <c r="A1536" t="s">
        <v>2759</v>
      </c>
      <c r="B1536" t="s">
        <v>925</v>
      </c>
      <c r="C1536" s="9">
        <v>46136</v>
      </c>
      <c r="D1536" s="9">
        <v>46137</v>
      </c>
      <c r="E1536" t="s">
        <v>123</v>
      </c>
      <c r="F1536" t="s">
        <v>855</v>
      </c>
      <c r="G1536">
        <v>72</v>
      </c>
      <c r="H1536">
        <v>503.28</v>
      </c>
      <c r="I1536" t="s">
        <v>927</v>
      </c>
      <c r="K1536" t="b">
        <f>IF(Table1[[#This Row],[dispatch_date]]-Table1[[#This Row],[order_date]] &gt;=0, TRUE, FALSE)</f>
        <v>1</v>
      </c>
    </row>
    <row r="1537" spans="1:11" x14ac:dyDescent="0.2">
      <c r="A1537" t="s">
        <v>1088</v>
      </c>
      <c r="B1537" t="s">
        <v>991</v>
      </c>
      <c r="C1537" s="9">
        <v>46137</v>
      </c>
      <c r="D1537" s="9">
        <v>46140</v>
      </c>
      <c r="E1537" t="s">
        <v>80</v>
      </c>
      <c r="F1537" t="s">
        <v>352</v>
      </c>
      <c r="G1537">
        <v>24</v>
      </c>
      <c r="H1537">
        <v>142.80000000000001</v>
      </c>
      <c r="I1537" t="s">
        <v>956</v>
      </c>
      <c r="K1537" t="b">
        <f>IF(Table1[[#This Row],[dispatch_date]]-Table1[[#This Row],[order_date]] &gt;=0, TRUE, FALSE)</f>
        <v>1</v>
      </c>
    </row>
    <row r="1538" spans="1:11" x14ac:dyDescent="0.2">
      <c r="A1538" t="s">
        <v>1212</v>
      </c>
      <c r="B1538" t="s">
        <v>1056</v>
      </c>
      <c r="C1538" s="9">
        <v>46137</v>
      </c>
      <c r="D1538" s="9">
        <v>46139</v>
      </c>
      <c r="E1538" t="s">
        <v>121</v>
      </c>
      <c r="F1538" t="s">
        <v>394</v>
      </c>
      <c r="G1538">
        <v>24</v>
      </c>
      <c r="H1538">
        <v>308.16000000000003</v>
      </c>
      <c r="I1538" t="s">
        <v>912</v>
      </c>
      <c r="K1538" t="b">
        <f>IF(Table1[[#This Row],[dispatch_date]]-Table1[[#This Row],[order_date]] &gt;=0, TRUE, FALSE)</f>
        <v>1</v>
      </c>
    </row>
    <row r="1539" spans="1:11" x14ac:dyDescent="0.2">
      <c r="A1539" t="s">
        <v>2396</v>
      </c>
      <c r="B1539" t="s">
        <v>1046</v>
      </c>
      <c r="C1539" s="9">
        <v>46137</v>
      </c>
      <c r="D1539" s="9">
        <v>46137</v>
      </c>
      <c r="E1539" t="s">
        <v>127</v>
      </c>
      <c r="G1539">
        <v>24</v>
      </c>
      <c r="H1539">
        <v>93.48</v>
      </c>
      <c r="I1539" t="s">
        <v>912</v>
      </c>
      <c r="K1539" t="b">
        <f>IF(Table1[[#This Row],[dispatch_date]]-Table1[[#This Row],[order_date]] &gt;=0, TRUE, FALSE)</f>
        <v>1</v>
      </c>
    </row>
    <row r="1540" spans="1:11" x14ac:dyDescent="0.2">
      <c r="A1540" t="s">
        <v>2783</v>
      </c>
      <c r="B1540" t="s">
        <v>906</v>
      </c>
      <c r="C1540" s="9">
        <v>46137</v>
      </c>
      <c r="D1540" s="9">
        <v>46140</v>
      </c>
      <c r="E1540" t="s">
        <v>56</v>
      </c>
      <c r="F1540" t="s">
        <v>761</v>
      </c>
      <c r="G1540">
        <v>36</v>
      </c>
      <c r="H1540">
        <v>211.68</v>
      </c>
      <c r="I1540" t="s">
        <v>938</v>
      </c>
      <c r="K1540" t="b">
        <f>IF(Table1[[#This Row],[dispatch_date]]-Table1[[#This Row],[order_date]] &gt;=0, TRUE, FALSE)</f>
        <v>1</v>
      </c>
    </row>
    <row r="1541" spans="1:11" x14ac:dyDescent="0.2">
      <c r="A1541" t="s">
        <v>2041</v>
      </c>
      <c r="B1541" t="s">
        <v>939</v>
      </c>
      <c r="C1541" s="9">
        <v>46138</v>
      </c>
      <c r="D1541" s="9">
        <v>46141</v>
      </c>
      <c r="E1541" t="s">
        <v>88</v>
      </c>
      <c r="F1541" t="s">
        <v>648</v>
      </c>
      <c r="G1541">
        <v>72</v>
      </c>
      <c r="H1541">
        <v>297.36</v>
      </c>
      <c r="I1541" t="s">
        <v>938</v>
      </c>
      <c r="K1541" t="b">
        <f>IF(Table1[[#This Row],[dispatch_date]]-Table1[[#This Row],[order_date]] &gt;=0, TRUE, FALSE)</f>
        <v>1</v>
      </c>
    </row>
    <row r="1542" spans="1:11" x14ac:dyDescent="0.2">
      <c r="A1542" t="s">
        <v>2046</v>
      </c>
      <c r="B1542" t="s">
        <v>983</v>
      </c>
      <c r="C1542" s="9">
        <v>46138</v>
      </c>
      <c r="D1542" s="9">
        <v>46138</v>
      </c>
      <c r="E1542" t="s">
        <v>105</v>
      </c>
      <c r="F1542" t="s">
        <v>438</v>
      </c>
      <c r="G1542">
        <v>6</v>
      </c>
      <c r="H1542">
        <v>35.700000000000003</v>
      </c>
      <c r="I1542" t="s">
        <v>916</v>
      </c>
      <c r="K1542" t="b">
        <f>IF(Table1[[#This Row],[dispatch_date]]-Table1[[#This Row],[order_date]] &gt;=0, TRUE, FALSE)</f>
        <v>1</v>
      </c>
    </row>
    <row r="1543" spans="1:11" x14ac:dyDescent="0.2">
      <c r="A1543" t="s">
        <v>2158</v>
      </c>
      <c r="B1543" t="s">
        <v>1001</v>
      </c>
      <c r="C1543" s="9">
        <v>46138</v>
      </c>
      <c r="D1543" s="9">
        <v>46140</v>
      </c>
      <c r="E1543" t="s">
        <v>52</v>
      </c>
      <c r="F1543" t="s">
        <v>732</v>
      </c>
      <c r="G1543">
        <v>12</v>
      </c>
      <c r="H1543">
        <v>56.2</v>
      </c>
      <c r="I1543" t="s">
        <v>916</v>
      </c>
      <c r="K1543" t="b">
        <f>IF(Table1[[#This Row],[dispatch_date]]-Table1[[#This Row],[order_date]] &gt;=0, TRUE, FALSE)</f>
        <v>1</v>
      </c>
    </row>
    <row r="1544" spans="1:11" x14ac:dyDescent="0.2">
      <c r="A1544" t="s">
        <v>1649</v>
      </c>
      <c r="B1544" t="s">
        <v>1042</v>
      </c>
      <c r="C1544" s="9">
        <v>46139</v>
      </c>
      <c r="D1544" s="9">
        <v>46140</v>
      </c>
      <c r="E1544" t="s">
        <v>99</v>
      </c>
      <c r="F1544" t="s">
        <v>641</v>
      </c>
      <c r="G1544">
        <v>24</v>
      </c>
      <c r="H1544">
        <v>168.49</v>
      </c>
      <c r="I1544" t="s">
        <v>1079</v>
      </c>
      <c r="K1544" t="b">
        <f>IF(Table1[[#This Row],[dispatch_date]]-Table1[[#This Row],[order_date]] &gt;=0, TRUE, FALSE)</f>
        <v>1</v>
      </c>
    </row>
    <row r="1545" spans="1:11" x14ac:dyDescent="0.2">
      <c r="A1545" t="s">
        <v>1678</v>
      </c>
      <c r="B1545" t="s">
        <v>983</v>
      </c>
      <c r="C1545" s="9">
        <v>46139</v>
      </c>
      <c r="D1545" s="9">
        <v>46141</v>
      </c>
      <c r="E1545" t="s">
        <v>74</v>
      </c>
      <c r="F1545" t="s">
        <v>708</v>
      </c>
      <c r="G1545">
        <v>36</v>
      </c>
      <c r="H1545">
        <v>77.400000000000006</v>
      </c>
      <c r="I1545" t="s">
        <v>916</v>
      </c>
      <c r="K1545" t="b">
        <f>IF(Table1[[#This Row],[dispatch_date]]-Table1[[#This Row],[order_date]] &gt;=0, TRUE, FALSE)</f>
        <v>1</v>
      </c>
    </row>
    <row r="1546" spans="1:11" x14ac:dyDescent="0.2">
      <c r="A1546" t="s">
        <v>1942</v>
      </c>
      <c r="B1546" t="s">
        <v>1024</v>
      </c>
      <c r="C1546" s="9">
        <v>46139</v>
      </c>
      <c r="D1546" s="9">
        <v>46142</v>
      </c>
      <c r="E1546" t="s">
        <v>56</v>
      </c>
      <c r="F1546" t="s">
        <v>761</v>
      </c>
      <c r="G1546">
        <v>72</v>
      </c>
      <c r="H1546">
        <v>423.36</v>
      </c>
      <c r="I1546" t="s">
        <v>938</v>
      </c>
      <c r="K1546" t="b">
        <f>IF(Table1[[#This Row],[dispatch_date]]-Table1[[#This Row],[order_date]] &gt;=0, TRUE, FALSE)</f>
        <v>1</v>
      </c>
    </row>
    <row r="1547" spans="1:11" x14ac:dyDescent="0.2">
      <c r="A1547" t="s">
        <v>2389</v>
      </c>
      <c r="B1547" t="s">
        <v>1072</v>
      </c>
      <c r="C1547" s="9">
        <v>46139</v>
      </c>
      <c r="D1547" s="9">
        <v>46142</v>
      </c>
      <c r="E1547" t="s">
        <v>127</v>
      </c>
      <c r="F1547" t="s">
        <v>483</v>
      </c>
      <c r="G1547">
        <v>24</v>
      </c>
      <c r="H1547">
        <v>98.4</v>
      </c>
      <c r="I1547" t="s">
        <v>956</v>
      </c>
      <c r="K1547" t="b">
        <f>IF(Table1[[#This Row],[dispatch_date]]-Table1[[#This Row],[order_date]] &gt;=0, TRUE, FALSE)</f>
        <v>1</v>
      </c>
    </row>
    <row r="1548" spans="1:11" x14ac:dyDescent="0.2">
      <c r="A1548" t="s">
        <v>2522</v>
      </c>
      <c r="B1548" t="s">
        <v>1034</v>
      </c>
      <c r="C1548" s="9">
        <v>46140</v>
      </c>
      <c r="D1548" s="9"/>
      <c r="E1548" t="s">
        <v>78</v>
      </c>
      <c r="F1548" t="s">
        <v>273</v>
      </c>
      <c r="G1548">
        <v>6</v>
      </c>
      <c r="H1548">
        <v>18.239999999999998</v>
      </c>
      <c r="I1548" t="s">
        <v>938</v>
      </c>
      <c r="K1548" t="b">
        <f>IF(Table1[[#This Row],[dispatch_date]]-Table1[[#This Row],[order_date]] &gt;=0, TRUE, FALSE)</f>
        <v>0</v>
      </c>
    </row>
    <row r="1549" spans="1:11" x14ac:dyDescent="0.2">
      <c r="A1549" t="s">
        <v>2588</v>
      </c>
      <c r="B1549" t="s">
        <v>987</v>
      </c>
      <c r="C1549" s="9">
        <v>46140</v>
      </c>
      <c r="D1549" s="9">
        <v>46142</v>
      </c>
      <c r="E1549" t="s">
        <v>50</v>
      </c>
      <c r="G1549">
        <v>24</v>
      </c>
      <c r="H1549">
        <v>146.4</v>
      </c>
      <c r="I1549" t="s">
        <v>1079</v>
      </c>
      <c r="K1549" t="b">
        <f>IF(Table1[[#This Row],[dispatch_date]]-Table1[[#This Row],[order_date]] &gt;=0, TRUE, FALSE)</f>
        <v>1</v>
      </c>
    </row>
    <row r="1550" spans="1:11" x14ac:dyDescent="0.2">
      <c r="A1550" t="s">
        <v>2699</v>
      </c>
      <c r="B1550" t="s">
        <v>1042</v>
      </c>
      <c r="C1550" s="9">
        <v>46140</v>
      </c>
      <c r="D1550" s="9">
        <v>46143</v>
      </c>
      <c r="E1550" t="s">
        <v>90</v>
      </c>
      <c r="F1550" t="s">
        <v>209</v>
      </c>
      <c r="G1550">
        <v>6</v>
      </c>
      <c r="H1550">
        <v>50.4</v>
      </c>
      <c r="I1550" t="s">
        <v>1079</v>
      </c>
      <c r="K1550" t="b">
        <f>IF(Table1[[#This Row],[dispatch_date]]-Table1[[#This Row],[order_date]] &gt;=0, TRUE, FALSE)</f>
        <v>1</v>
      </c>
    </row>
    <row r="1551" spans="1:11" x14ac:dyDescent="0.2">
      <c r="A1551" t="s">
        <v>1204</v>
      </c>
      <c r="B1551" t="s">
        <v>1061</v>
      </c>
      <c r="C1551" s="9">
        <v>46141</v>
      </c>
      <c r="D1551" s="9">
        <v>46143</v>
      </c>
      <c r="E1551" t="s">
        <v>118</v>
      </c>
      <c r="F1551" t="s">
        <v>396</v>
      </c>
      <c r="G1551">
        <v>36</v>
      </c>
      <c r="H1551">
        <v>473.04</v>
      </c>
      <c r="I1551" t="s">
        <v>912</v>
      </c>
      <c r="K1551" t="b">
        <f>IF(Table1[[#This Row],[dispatch_date]]-Table1[[#This Row],[order_date]] &gt;=0, TRUE, FALSE)</f>
        <v>1</v>
      </c>
    </row>
    <row r="1552" spans="1:11" x14ac:dyDescent="0.2">
      <c r="A1552" t="s">
        <v>1266</v>
      </c>
      <c r="B1552" t="s">
        <v>906</v>
      </c>
      <c r="C1552" s="9">
        <v>46141</v>
      </c>
      <c r="D1552" s="9">
        <v>46144</v>
      </c>
      <c r="E1552" t="s">
        <v>129</v>
      </c>
      <c r="F1552" t="s">
        <v>749</v>
      </c>
      <c r="G1552">
        <v>24</v>
      </c>
      <c r="H1552">
        <v>114</v>
      </c>
      <c r="I1552" t="s">
        <v>938</v>
      </c>
      <c r="K1552" t="b">
        <f>IF(Table1[[#This Row],[dispatch_date]]-Table1[[#This Row],[order_date]] &gt;=0, TRUE, FALSE)</f>
        <v>1</v>
      </c>
    </row>
    <row r="1553" spans="1:11" x14ac:dyDescent="0.2">
      <c r="A1553" t="s">
        <v>1501</v>
      </c>
      <c r="B1553" t="s">
        <v>1052</v>
      </c>
      <c r="C1553" s="9">
        <v>46141</v>
      </c>
      <c r="D1553" s="9">
        <v>46141</v>
      </c>
      <c r="E1553" t="s">
        <v>50</v>
      </c>
      <c r="F1553" t="s">
        <v>195</v>
      </c>
      <c r="G1553">
        <v>6</v>
      </c>
      <c r="H1553">
        <v>36.6</v>
      </c>
      <c r="I1553" t="s">
        <v>956</v>
      </c>
      <c r="K1553" t="b">
        <f>IF(Table1[[#This Row],[dispatch_date]]-Table1[[#This Row],[order_date]] &gt;=0, TRUE, FALSE)</f>
        <v>1</v>
      </c>
    </row>
    <row r="1554" spans="1:11" x14ac:dyDescent="0.2">
      <c r="A1554" t="s">
        <v>2257</v>
      </c>
      <c r="B1554" t="s">
        <v>998</v>
      </c>
      <c r="C1554" s="9">
        <v>46141</v>
      </c>
      <c r="D1554" s="9">
        <v>46141</v>
      </c>
      <c r="E1554" t="s">
        <v>114</v>
      </c>
      <c r="F1554" t="s">
        <v>654</v>
      </c>
      <c r="G1554">
        <v>36</v>
      </c>
      <c r="H1554">
        <v>169.29</v>
      </c>
      <c r="I1554" t="s">
        <v>912</v>
      </c>
      <c r="K1554" t="b">
        <f>IF(Table1[[#This Row],[dispatch_date]]-Table1[[#This Row],[order_date]] &gt;=0, TRUE, FALSE)</f>
        <v>1</v>
      </c>
    </row>
    <row r="1555" spans="1:11" x14ac:dyDescent="0.2">
      <c r="A1555" t="s">
        <v>2545</v>
      </c>
      <c r="B1555" t="s">
        <v>1049</v>
      </c>
      <c r="C1555" s="9">
        <v>46141</v>
      </c>
      <c r="D1555" s="9">
        <v>46144</v>
      </c>
      <c r="E1555" t="s">
        <v>50</v>
      </c>
      <c r="F1555" t="s">
        <v>389</v>
      </c>
      <c r="G1555">
        <v>48</v>
      </c>
      <c r="H1555">
        <v>292.8</v>
      </c>
      <c r="I1555" t="s">
        <v>938</v>
      </c>
      <c r="K1555" t="b">
        <f>IF(Table1[[#This Row],[dispatch_date]]-Table1[[#This Row],[order_date]] &gt;=0, TRUE, FALSE)</f>
        <v>1</v>
      </c>
    </row>
    <row r="1556" spans="1:11" x14ac:dyDescent="0.2">
      <c r="A1556" t="s">
        <v>1127</v>
      </c>
      <c r="B1556" t="s">
        <v>914</v>
      </c>
      <c r="C1556" s="9">
        <v>46142</v>
      </c>
      <c r="D1556" s="9">
        <v>46145</v>
      </c>
      <c r="E1556" t="s">
        <v>123</v>
      </c>
      <c r="F1556" t="s">
        <v>855</v>
      </c>
      <c r="G1556">
        <v>72</v>
      </c>
      <c r="H1556">
        <v>503.28</v>
      </c>
      <c r="I1556" t="s">
        <v>916</v>
      </c>
      <c r="K1556" t="b">
        <f>IF(Table1[[#This Row],[dispatch_date]]-Table1[[#This Row],[order_date]] &gt;=0, TRUE, FALSE)</f>
        <v>1</v>
      </c>
    </row>
    <row r="1557" spans="1:11" x14ac:dyDescent="0.2">
      <c r="A1557" t="s">
        <v>1686</v>
      </c>
      <c r="B1557" t="s">
        <v>1021</v>
      </c>
      <c r="C1557" s="9">
        <v>46142</v>
      </c>
      <c r="D1557" s="9">
        <v>46145</v>
      </c>
      <c r="E1557" t="s">
        <v>36</v>
      </c>
      <c r="F1557" t="s">
        <v>285</v>
      </c>
      <c r="G1557">
        <v>72</v>
      </c>
      <c r="H1557">
        <v>123.12</v>
      </c>
      <c r="I1557" t="s">
        <v>916</v>
      </c>
      <c r="J1557" t="s">
        <v>3134</v>
      </c>
      <c r="K1557" t="b">
        <f>IF(Table1[[#This Row],[dispatch_date]]-Table1[[#This Row],[order_date]] &gt;=0, TRUE, FALSE)</f>
        <v>1</v>
      </c>
    </row>
    <row r="1558" spans="1:11" x14ac:dyDescent="0.2">
      <c r="A1558" t="s">
        <v>1836</v>
      </c>
      <c r="B1558" t="s">
        <v>922</v>
      </c>
      <c r="C1558" s="9">
        <v>46142</v>
      </c>
      <c r="D1558" s="9">
        <v>46144</v>
      </c>
      <c r="E1558" t="s">
        <v>121</v>
      </c>
      <c r="F1558" t="s">
        <v>334</v>
      </c>
      <c r="G1558">
        <v>36</v>
      </c>
      <c r="H1558">
        <v>462.24</v>
      </c>
      <c r="I1558" t="s">
        <v>912</v>
      </c>
      <c r="K1558" t="b">
        <f>IF(Table1[[#This Row],[dispatch_date]]-Table1[[#This Row],[order_date]] &gt;=0, TRUE, FALSE)</f>
        <v>1</v>
      </c>
    </row>
    <row r="1559" spans="1:11" x14ac:dyDescent="0.2">
      <c r="A1559" t="s">
        <v>2061</v>
      </c>
      <c r="B1559" t="s">
        <v>1027</v>
      </c>
      <c r="C1559" s="9">
        <v>46142</v>
      </c>
      <c r="D1559" s="9">
        <v>46143</v>
      </c>
      <c r="E1559" t="s">
        <v>116</v>
      </c>
      <c r="F1559" t="s">
        <v>540</v>
      </c>
      <c r="G1559">
        <v>24</v>
      </c>
      <c r="H1559">
        <v>116.16</v>
      </c>
      <c r="I1559" t="s">
        <v>916</v>
      </c>
      <c r="K1559" t="b">
        <f>IF(Table1[[#This Row],[dispatch_date]]-Table1[[#This Row],[order_date]] &gt;=0, TRUE, FALSE)</f>
        <v>1</v>
      </c>
    </row>
    <row r="1560" spans="1:11" x14ac:dyDescent="0.2">
      <c r="A1560" t="s">
        <v>2386</v>
      </c>
      <c r="B1560" t="s">
        <v>922</v>
      </c>
      <c r="C1560" s="9">
        <v>46142</v>
      </c>
      <c r="D1560" s="9">
        <v>46145</v>
      </c>
      <c r="E1560" t="s">
        <v>65</v>
      </c>
      <c r="F1560" t="s">
        <v>464</v>
      </c>
      <c r="G1560">
        <v>6</v>
      </c>
      <c r="H1560">
        <v>79.62</v>
      </c>
      <c r="I1560" t="s">
        <v>912</v>
      </c>
      <c r="K1560" t="b">
        <f>IF(Table1[[#This Row],[dispatch_date]]-Table1[[#This Row],[order_date]] &gt;=0, TRUE, FALSE)</f>
        <v>1</v>
      </c>
    </row>
    <row r="1561" spans="1:11" x14ac:dyDescent="0.2">
      <c r="A1561" t="s">
        <v>2536</v>
      </c>
      <c r="B1561" t="s">
        <v>1018</v>
      </c>
      <c r="C1561" s="9">
        <v>46142</v>
      </c>
      <c r="D1561" s="9">
        <v>46142</v>
      </c>
      <c r="E1561" t="s">
        <v>33</v>
      </c>
      <c r="G1561">
        <v>24</v>
      </c>
      <c r="H1561">
        <v>50.39</v>
      </c>
      <c r="I1561" t="s">
        <v>916</v>
      </c>
      <c r="K1561" t="b">
        <f>IF(Table1[[#This Row],[dispatch_date]]-Table1[[#This Row],[order_date]] &gt;=0, TRUE, FALSE)</f>
        <v>1</v>
      </c>
    </row>
    <row r="1562" spans="1:11" x14ac:dyDescent="0.2">
      <c r="A1562" t="s">
        <v>2860</v>
      </c>
      <c r="B1562" t="s">
        <v>1016</v>
      </c>
      <c r="C1562" s="9">
        <v>46142</v>
      </c>
      <c r="D1562" s="9">
        <v>46143</v>
      </c>
      <c r="E1562" t="s">
        <v>58</v>
      </c>
      <c r="F1562" t="s">
        <v>505</v>
      </c>
      <c r="G1562">
        <v>72</v>
      </c>
      <c r="H1562">
        <v>453.6</v>
      </c>
      <c r="I1562" t="s">
        <v>912</v>
      </c>
      <c r="K1562" t="b">
        <f>IF(Table1[[#This Row],[dispatch_date]]-Table1[[#This Row],[order_date]] &gt;=0, TRUE, FALSE)</f>
        <v>1</v>
      </c>
    </row>
    <row r="1563" spans="1:11" x14ac:dyDescent="0.2">
      <c r="A1563" t="s">
        <v>1319</v>
      </c>
      <c r="B1563" t="s">
        <v>996</v>
      </c>
      <c r="C1563" s="9">
        <v>46143</v>
      </c>
      <c r="D1563" s="9">
        <v>46144</v>
      </c>
      <c r="E1563" t="s">
        <v>36</v>
      </c>
      <c r="F1563" t="s">
        <v>833</v>
      </c>
      <c r="G1563">
        <v>24</v>
      </c>
      <c r="H1563">
        <v>41.04</v>
      </c>
      <c r="I1563" t="s">
        <v>956</v>
      </c>
      <c r="K1563" t="b">
        <f>IF(Table1[[#This Row],[dispatch_date]]-Table1[[#This Row],[order_date]] &gt;=0, TRUE, FALSE)</f>
        <v>1</v>
      </c>
    </row>
    <row r="1564" spans="1:11" x14ac:dyDescent="0.2">
      <c r="A1564" t="s">
        <v>1984</v>
      </c>
      <c r="B1564" t="s">
        <v>971</v>
      </c>
      <c r="C1564" s="9">
        <v>46143</v>
      </c>
      <c r="D1564" s="9">
        <v>46145</v>
      </c>
      <c r="E1564" t="s">
        <v>8</v>
      </c>
      <c r="G1564">
        <v>72</v>
      </c>
      <c r="H1564">
        <v>412.45</v>
      </c>
      <c r="I1564" t="s">
        <v>956</v>
      </c>
      <c r="K1564" t="b">
        <f>IF(Table1[[#This Row],[dispatch_date]]-Table1[[#This Row],[order_date]] &gt;=0, TRUE, FALSE)</f>
        <v>1</v>
      </c>
    </row>
    <row r="1565" spans="1:11" x14ac:dyDescent="0.2">
      <c r="A1565" t="s">
        <v>2383</v>
      </c>
      <c r="B1565" t="s">
        <v>985</v>
      </c>
      <c r="C1565" s="9">
        <v>46143</v>
      </c>
      <c r="D1565" s="9">
        <v>46145</v>
      </c>
      <c r="E1565" t="s">
        <v>56</v>
      </c>
      <c r="G1565">
        <v>24</v>
      </c>
      <c r="H1565">
        <v>141.12</v>
      </c>
      <c r="I1565" t="s">
        <v>1079</v>
      </c>
      <c r="K1565" t="b">
        <f>IF(Table1[[#This Row],[dispatch_date]]-Table1[[#This Row],[order_date]] &gt;=0, TRUE, FALSE)</f>
        <v>1</v>
      </c>
    </row>
    <row r="1566" spans="1:11" x14ac:dyDescent="0.2">
      <c r="A1566" t="s">
        <v>2391</v>
      </c>
      <c r="B1566" t="s">
        <v>952</v>
      </c>
      <c r="C1566" s="9">
        <v>46143</v>
      </c>
      <c r="D1566" s="9">
        <v>46143</v>
      </c>
      <c r="E1566" t="s">
        <v>33</v>
      </c>
      <c r="F1566" t="s">
        <v>681</v>
      </c>
      <c r="G1566">
        <v>24</v>
      </c>
      <c r="H1566">
        <v>50.39</v>
      </c>
      <c r="I1566" t="s">
        <v>912</v>
      </c>
      <c r="K1566" t="b">
        <f>IF(Table1[[#This Row],[dispatch_date]]-Table1[[#This Row],[order_date]] &gt;=0, TRUE, FALSE)</f>
        <v>1</v>
      </c>
    </row>
    <row r="1567" spans="1:11" x14ac:dyDescent="0.2">
      <c r="A1567" t="s">
        <v>2574</v>
      </c>
      <c r="B1567" t="s">
        <v>942</v>
      </c>
      <c r="C1567" s="9">
        <v>46143</v>
      </c>
      <c r="D1567" s="9">
        <v>46144</v>
      </c>
      <c r="E1567" t="s">
        <v>121</v>
      </c>
      <c r="F1567" t="s">
        <v>394</v>
      </c>
      <c r="G1567">
        <v>24</v>
      </c>
      <c r="H1567">
        <v>308.16000000000003</v>
      </c>
      <c r="I1567" t="s">
        <v>916</v>
      </c>
      <c r="K1567" t="b">
        <f>IF(Table1[[#This Row],[dispatch_date]]-Table1[[#This Row],[order_date]] &gt;=0, TRUE, FALSE)</f>
        <v>1</v>
      </c>
    </row>
    <row r="1568" spans="1:11" x14ac:dyDescent="0.2">
      <c r="A1568" t="s">
        <v>2646</v>
      </c>
      <c r="B1568" t="s">
        <v>1021</v>
      </c>
      <c r="C1568" s="9">
        <v>46143</v>
      </c>
      <c r="D1568" s="9">
        <v>46144</v>
      </c>
      <c r="E1568" t="s">
        <v>84</v>
      </c>
      <c r="F1568" t="s">
        <v>555</v>
      </c>
      <c r="G1568">
        <v>12</v>
      </c>
      <c r="H1568">
        <v>26.76</v>
      </c>
      <c r="I1568" t="s">
        <v>938</v>
      </c>
      <c r="K1568" t="b">
        <f>IF(Table1[[#This Row],[dispatch_date]]-Table1[[#This Row],[order_date]] &gt;=0, TRUE, FALSE)</f>
        <v>1</v>
      </c>
    </row>
    <row r="1569" spans="1:11" x14ac:dyDescent="0.2">
      <c r="A1569" t="s">
        <v>2790</v>
      </c>
      <c r="B1569" t="s">
        <v>954</v>
      </c>
      <c r="C1569" s="9">
        <v>46143</v>
      </c>
      <c r="D1569" s="9">
        <v>46143</v>
      </c>
      <c r="E1569" t="s">
        <v>33</v>
      </c>
      <c r="G1569">
        <v>48</v>
      </c>
      <c r="H1569">
        <v>106.08</v>
      </c>
      <c r="I1569" t="s">
        <v>956</v>
      </c>
      <c r="K1569" t="b">
        <f>IF(Table1[[#This Row],[dispatch_date]]-Table1[[#This Row],[order_date]] &gt;=0, TRUE, FALSE)</f>
        <v>1</v>
      </c>
    </row>
    <row r="1570" spans="1:11" x14ac:dyDescent="0.2">
      <c r="A1570" t="s">
        <v>1633</v>
      </c>
      <c r="B1570" t="s">
        <v>1016</v>
      </c>
      <c r="C1570" s="9">
        <v>46145</v>
      </c>
      <c r="D1570" s="9">
        <v>46146</v>
      </c>
      <c r="E1570" t="s">
        <v>48</v>
      </c>
      <c r="F1570" t="s">
        <v>545</v>
      </c>
      <c r="G1570">
        <v>72</v>
      </c>
      <c r="H1570">
        <v>461.02</v>
      </c>
      <c r="I1570" t="s">
        <v>912</v>
      </c>
      <c r="K1570" t="b">
        <f>IF(Table1[[#This Row],[dispatch_date]]-Table1[[#This Row],[order_date]] &gt;=0, TRUE, FALSE)</f>
        <v>1</v>
      </c>
    </row>
    <row r="1571" spans="1:11" x14ac:dyDescent="0.2">
      <c r="A1571" t="s">
        <v>2526</v>
      </c>
      <c r="B1571" t="s">
        <v>932</v>
      </c>
      <c r="C1571" s="9">
        <v>46145</v>
      </c>
      <c r="D1571" s="9">
        <v>46147</v>
      </c>
      <c r="E1571" t="s">
        <v>67</v>
      </c>
      <c r="F1571" t="s">
        <v>751</v>
      </c>
      <c r="G1571">
        <v>72</v>
      </c>
      <c r="H1571">
        <v>381.6</v>
      </c>
      <c r="I1571" t="s">
        <v>956</v>
      </c>
      <c r="K1571" t="b">
        <f>IF(Table1[[#This Row],[dispatch_date]]-Table1[[#This Row],[order_date]] &gt;=0, TRUE, FALSE)</f>
        <v>1</v>
      </c>
    </row>
    <row r="1572" spans="1:11" x14ac:dyDescent="0.2">
      <c r="A1572" t="s">
        <v>1550</v>
      </c>
      <c r="B1572" t="s">
        <v>945</v>
      </c>
      <c r="C1572" s="9">
        <v>46146</v>
      </c>
      <c r="D1572" s="9">
        <v>46148</v>
      </c>
      <c r="E1572" t="s">
        <v>42</v>
      </c>
      <c r="F1572" t="s">
        <v>874</v>
      </c>
      <c r="G1572">
        <v>6</v>
      </c>
      <c r="H1572">
        <v>19.62</v>
      </c>
      <c r="I1572" t="s">
        <v>938</v>
      </c>
      <c r="K1572" t="b">
        <f>IF(Table1[[#This Row],[dispatch_date]]-Table1[[#This Row],[order_date]] &gt;=0, TRUE, FALSE)</f>
        <v>1</v>
      </c>
    </row>
    <row r="1573" spans="1:11" x14ac:dyDescent="0.2">
      <c r="A1573" t="s">
        <v>2643</v>
      </c>
      <c r="B1573" t="s">
        <v>979</v>
      </c>
      <c r="C1573" s="9">
        <v>46146</v>
      </c>
      <c r="D1573" s="9">
        <v>46147</v>
      </c>
      <c r="E1573" t="s">
        <v>69</v>
      </c>
      <c r="F1573" t="s">
        <v>576</v>
      </c>
      <c r="G1573">
        <v>48</v>
      </c>
      <c r="H1573">
        <v>256.32</v>
      </c>
      <c r="I1573" t="s">
        <v>956</v>
      </c>
      <c r="K1573" t="b">
        <f>IF(Table1[[#This Row],[dispatch_date]]-Table1[[#This Row],[order_date]] &gt;=0, TRUE, FALSE)</f>
        <v>1</v>
      </c>
    </row>
    <row r="1574" spans="1:11" x14ac:dyDescent="0.2">
      <c r="A1574" t="s">
        <v>2766</v>
      </c>
      <c r="B1574" t="s">
        <v>1045</v>
      </c>
      <c r="C1574" s="9">
        <v>46117</v>
      </c>
      <c r="D1574" s="9">
        <v>46117</v>
      </c>
      <c r="E1574" t="s">
        <v>33</v>
      </c>
      <c r="F1574" t="s">
        <v>206</v>
      </c>
      <c r="G1574">
        <v>48</v>
      </c>
      <c r="H1574">
        <v>106.08</v>
      </c>
      <c r="I1574" t="s">
        <v>912</v>
      </c>
      <c r="J1574" t="s">
        <v>3134</v>
      </c>
      <c r="K1574" t="b">
        <f>IF(Table1[[#This Row],[dispatch_date]]-Table1[[#This Row],[order_date]] &gt;=0, TRUE, FALSE)</f>
        <v>1</v>
      </c>
    </row>
    <row r="1575" spans="1:11" x14ac:dyDescent="0.2">
      <c r="A1575" t="s">
        <v>1482</v>
      </c>
      <c r="B1575" t="s">
        <v>1021</v>
      </c>
      <c r="C1575" s="9">
        <v>46147</v>
      </c>
      <c r="D1575" s="9">
        <v>46148</v>
      </c>
      <c r="E1575" t="s">
        <v>121</v>
      </c>
      <c r="G1575">
        <v>24</v>
      </c>
      <c r="H1575">
        <v>308.16000000000003</v>
      </c>
      <c r="I1575" t="s">
        <v>916</v>
      </c>
      <c r="K1575" t="b">
        <f>IF(Table1[[#This Row],[dispatch_date]]-Table1[[#This Row],[order_date]] &gt;=0, TRUE, FALSE)</f>
        <v>1</v>
      </c>
    </row>
    <row r="1576" spans="1:11" x14ac:dyDescent="0.2">
      <c r="A1576" t="s">
        <v>2567</v>
      </c>
      <c r="B1576" t="s">
        <v>1077</v>
      </c>
      <c r="C1576" s="9">
        <v>46147</v>
      </c>
      <c r="D1576" s="9">
        <v>46149</v>
      </c>
      <c r="E1576" t="s">
        <v>33</v>
      </c>
      <c r="F1576" t="s">
        <v>831</v>
      </c>
      <c r="G1576">
        <v>24</v>
      </c>
      <c r="H1576">
        <v>53.04</v>
      </c>
      <c r="I1576" t="s">
        <v>1079</v>
      </c>
      <c r="K1576" t="b">
        <f>IF(Table1[[#This Row],[dispatch_date]]-Table1[[#This Row],[order_date]] &gt;=0, TRUE, FALSE)</f>
        <v>1</v>
      </c>
    </row>
    <row r="1577" spans="1:11" x14ac:dyDescent="0.2">
      <c r="A1577" t="s">
        <v>2762</v>
      </c>
      <c r="B1577" t="s">
        <v>1055</v>
      </c>
      <c r="C1577" s="9">
        <v>46147</v>
      </c>
      <c r="D1577" s="9">
        <v>46149</v>
      </c>
      <c r="E1577" t="s">
        <v>42</v>
      </c>
      <c r="F1577" t="s">
        <v>411</v>
      </c>
      <c r="G1577">
        <v>72</v>
      </c>
      <c r="H1577">
        <v>235.44</v>
      </c>
      <c r="I1577" t="s">
        <v>938</v>
      </c>
      <c r="K1577" t="b">
        <f>IF(Table1[[#This Row],[dispatch_date]]-Table1[[#This Row],[order_date]] &gt;=0, TRUE, FALSE)</f>
        <v>1</v>
      </c>
    </row>
    <row r="1578" spans="1:11" x14ac:dyDescent="0.2">
      <c r="A1578" t="s">
        <v>1153</v>
      </c>
      <c r="B1578" t="s">
        <v>1046</v>
      </c>
      <c r="C1578" s="9">
        <v>46148</v>
      </c>
      <c r="D1578" s="9">
        <v>46148</v>
      </c>
      <c r="E1578" t="s">
        <v>30</v>
      </c>
      <c r="F1578" t="s">
        <v>255</v>
      </c>
      <c r="G1578">
        <v>6</v>
      </c>
      <c r="H1578">
        <v>14.4</v>
      </c>
      <c r="I1578" t="s">
        <v>912</v>
      </c>
      <c r="K1578" t="b">
        <f>IF(Table1[[#This Row],[dispatch_date]]-Table1[[#This Row],[order_date]] &gt;=0, TRUE, FALSE)</f>
        <v>1</v>
      </c>
    </row>
    <row r="1579" spans="1:11" x14ac:dyDescent="0.2">
      <c r="A1579" t="s">
        <v>1676</v>
      </c>
      <c r="B1579" t="s">
        <v>925</v>
      </c>
      <c r="C1579" s="9">
        <v>46148</v>
      </c>
      <c r="D1579" s="9">
        <v>46151</v>
      </c>
      <c r="E1579" t="s">
        <v>99</v>
      </c>
      <c r="G1579">
        <v>24</v>
      </c>
      <c r="H1579">
        <v>168.49</v>
      </c>
      <c r="I1579" t="s">
        <v>927</v>
      </c>
      <c r="K1579" t="b">
        <f>IF(Table1[[#This Row],[dispatch_date]]-Table1[[#This Row],[order_date]] &gt;=0, TRUE, FALSE)</f>
        <v>1</v>
      </c>
    </row>
    <row r="1580" spans="1:11" x14ac:dyDescent="0.2">
      <c r="A1580" t="s">
        <v>1807</v>
      </c>
      <c r="B1580" t="s">
        <v>1004</v>
      </c>
      <c r="C1580" s="9">
        <v>46148</v>
      </c>
      <c r="D1580" s="9">
        <v>46151</v>
      </c>
      <c r="E1580" t="s">
        <v>8</v>
      </c>
      <c r="F1580" t="s">
        <v>825</v>
      </c>
      <c r="G1580">
        <v>48</v>
      </c>
      <c r="H1580">
        <v>289.44</v>
      </c>
      <c r="I1580" t="s">
        <v>927</v>
      </c>
      <c r="K1580" t="b">
        <f>IF(Table1[[#This Row],[dispatch_date]]-Table1[[#This Row],[order_date]] &gt;=0, TRUE, FALSE)</f>
        <v>1</v>
      </c>
    </row>
    <row r="1581" spans="1:11" x14ac:dyDescent="0.2">
      <c r="A1581" t="s">
        <v>2062</v>
      </c>
      <c r="B1581" t="s">
        <v>936</v>
      </c>
      <c r="C1581" s="9">
        <v>46149</v>
      </c>
      <c r="D1581" s="9">
        <v>46151</v>
      </c>
      <c r="E1581" t="s">
        <v>33</v>
      </c>
      <c r="F1581" t="s">
        <v>478</v>
      </c>
      <c r="G1581">
        <v>24</v>
      </c>
      <c r="H1581">
        <v>50.39</v>
      </c>
      <c r="I1581" t="s">
        <v>938</v>
      </c>
      <c r="K1581" t="b">
        <f>IF(Table1[[#This Row],[dispatch_date]]-Table1[[#This Row],[order_date]] &gt;=0, TRUE, FALSE)</f>
        <v>1</v>
      </c>
    </row>
    <row r="1582" spans="1:11" x14ac:dyDescent="0.2">
      <c r="A1582" t="s">
        <v>1474</v>
      </c>
      <c r="B1582" t="s">
        <v>901</v>
      </c>
      <c r="C1582" s="9">
        <v>46150</v>
      </c>
      <c r="D1582" s="9">
        <v>46153</v>
      </c>
      <c r="E1582" t="s">
        <v>74</v>
      </c>
      <c r="G1582">
        <v>72</v>
      </c>
      <c r="H1582">
        <v>154.80000000000001</v>
      </c>
      <c r="I1582" t="s">
        <v>956</v>
      </c>
      <c r="K1582" t="b">
        <f>IF(Table1[[#This Row],[dispatch_date]]-Table1[[#This Row],[order_date]] &gt;=0, TRUE, FALSE)</f>
        <v>1</v>
      </c>
    </row>
    <row r="1583" spans="1:11" x14ac:dyDescent="0.2">
      <c r="A1583" t="s">
        <v>2329</v>
      </c>
      <c r="B1583" t="s">
        <v>1048</v>
      </c>
      <c r="C1583" s="9">
        <v>46150</v>
      </c>
      <c r="D1583" s="9">
        <v>46153</v>
      </c>
      <c r="E1583" t="s">
        <v>54</v>
      </c>
      <c r="G1583">
        <v>12</v>
      </c>
      <c r="H1583">
        <v>53.16</v>
      </c>
      <c r="I1583" t="s">
        <v>912</v>
      </c>
      <c r="K1583" t="b">
        <f>IF(Table1[[#This Row],[dispatch_date]]-Table1[[#This Row],[order_date]] &gt;=0, TRUE, FALSE)</f>
        <v>1</v>
      </c>
    </row>
    <row r="1584" spans="1:11" x14ac:dyDescent="0.2">
      <c r="A1584" t="s">
        <v>1315</v>
      </c>
      <c r="B1584" t="s">
        <v>1034</v>
      </c>
      <c r="C1584" s="9">
        <v>46151</v>
      </c>
      <c r="D1584" s="9">
        <v>46153</v>
      </c>
      <c r="E1584" t="s">
        <v>52</v>
      </c>
      <c r="F1584" t="s">
        <v>796</v>
      </c>
      <c r="G1584">
        <v>24</v>
      </c>
      <c r="H1584">
        <v>118.32</v>
      </c>
      <c r="I1584" t="s">
        <v>938</v>
      </c>
      <c r="K1584" t="b">
        <f>IF(Table1[[#This Row],[dispatch_date]]-Table1[[#This Row],[order_date]] &gt;=0, TRUE, FALSE)</f>
        <v>1</v>
      </c>
    </row>
    <row r="1585" spans="1:11" x14ac:dyDescent="0.2">
      <c r="A1585" t="s">
        <v>1344</v>
      </c>
      <c r="B1585" t="s">
        <v>942</v>
      </c>
      <c r="C1585" s="9">
        <v>46151</v>
      </c>
      <c r="D1585" s="9">
        <v>46154</v>
      </c>
      <c r="E1585" t="s">
        <v>116</v>
      </c>
      <c r="G1585">
        <v>24</v>
      </c>
      <c r="H1585">
        <v>116.16</v>
      </c>
      <c r="I1585" t="s">
        <v>916</v>
      </c>
      <c r="K1585" t="b">
        <f>IF(Table1[[#This Row],[dispatch_date]]-Table1[[#This Row],[order_date]] &gt;=0, TRUE, FALSE)</f>
        <v>1</v>
      </c>
    </row>
    <row r="1586" spans="1:11" x14ac:dyDescent="0.2">
      <c r="A1586" t="s">
        <v>1968</v>
      </c>
      <c r="B1586" t="s">
        <v>1061</v>
      </c>
      <c r="C1586" s="9">
        <v>46152</v>
      </c>
      <c r="D1586" s="9">
        <v>46154</v>
      </c>
      <c r="E1586" t="s">
        <v>67</v>
      </c>
      <c r="F1586" t="s">
        <v>751</v>
      </c>
      <c r="G1586">
        <v>24</v>
      </c>
      <c r="H1586">
        <v>127.2</v>
      </c>
      <c r="I1586" t="s">
        <v>912</v>
      </c>
      <c r="K1586" t="b">
        <f>IF(Table1[[#This Row],[dispatch_date]]-Table1[[#This Row],[order_date]] &gt;=0, TRUE, FALSE)</f>
        <v>1</v>
      </c>
    </row>
    <row r="1587" spans="1:11" x14ac:dyDescent="0.2">
      <c r="A1587" t="s">
        <v>1090</v>
      </c>
      <c r="B1587" t="s">
        <v>1001</v>
      </c>
      <c r="C1587" s="9">
        <v>46153</v>
      </c>
      <c r="D1587" s="9">
        <v>46153</v>
      </c>
      <c r="E1587" t="s">
        <v>125</v>
      </c>
      <c r="F1587" t="s">
        <v>270</v>
      </c>
      <c r="G1587">
        <v>36</v>
      </c>
      <c r="H1587">
        <v>260.95</v>
      </c>
      <c r="I1587" t="s">
        <v>916</v>
      </c>
      <c r="K1587" t="b">
        <f>IF(Table1[[#This Row],[dispatch_date]]-Table1[[#This Row],[order_date]] &gt;=0, TRUE, FALSE)</f>
        <v>1</v>
      </c>
    </row>
    <row r="1588" spans="1:11" x14ac:dyDescent="0.2">
      <c r="A1588" t="s">
        <v>1741</v>
      </c>
      <c r="B1588" t="s">
        <v>1031</v>
      </c>
      <c r="C1588" s="9">
        <v>46153</v>
      </c>
      <c r="D1588" s="9">
        <v>46154</v>
      </c>
      <c r="E1588" t="s">
        <v>25</v>
      </c>
      <c r="G1588">
        <v>24</v>
      </c>
      <c r="H1588">
        <v>133.19999999999999</v>
      </c>
      <c r="I1588" t="s">
        <v>956</v>
      </c>
      <c r="K1588" t="b">
        <f>IF(Table1[[#This Row],[dispatch_date]]-Table1[[#This Row],[order_date]] &gt;=0, TRUE, FALSE)</f>
        <v>1</v>
      </c>
    </row>
    <row r="1589" spans="1:11" x14ac:dyDescent="0.2">
      <c r="A1589" t="s">
        <v>2276</v>
      </c>
      <c r="B1589" t="s">
        <v>939</v>
      </c>
      <c r="C1589" s="9">
        <v>46153</v>
      </c>
      <c r="D1589" s="9">
        <v>46155</v>
      </c>
      <c r="E1589" t="s">
        <v>78</v>
      </c>
      <c r="F1589" t="s">
        <v>273</v>
      </c>
      <c r="G1589">
        <v>48</v>
      </c>
      <c r="H1589">
        <v>145.91999999999999</v>
      </c>
      <c r="I1589" t="s">
        <v>916</v>
      </c>
      <c r="K1589" t="b">
        <f>IF(Table1[[#This Row],[dispatch_date]]-Table1[[#This Row],[order_date]] &gt;=0, TRUE, FALSE)</f>
        <v>1</v>
      </c>
    </row>
    <row r="1590" spans="1:11" x14ac:dyDescent="0.2">
      <c r="A1590" t="s">
        <v>2398</v>
      </c>
      <c r="B1590" t="s">
        <v>936</v>
      </c>
      <c r="C1590" s="9">
        <v>46154</v>
      </c>
      <c r="D1590" s="9">
        <v>46154</v>
      </c>
      <c r="E1590" t="s">
        <v>123</v>
      </c>
      <c r="F1590" t="s">
        <v>484</v>
      </c>
      <c r="G1590">
        <v>24</v>
      </c>
      <c r="H1590">
        <v>167.76</v>
      </c>
      <c r="I1590" t="s">
        <v>938</v>
      </c>
      <c r="K1590" t="b">
        <f>IF(Table1[[#This Row],[dispatch_date]]-Table1[[#This Row],[order_date]] &gt;=0, TRUE, FALSE)</f>
        <v>1</v>
      </c>
    </row>
    <row r="1591" spans="1:11" x14ac:dyDescent="0.2">
      <c r="A1591" t="s">
        <v>2499</v>
      </c>
      <c r="B1591" t="s">
        <v>1001</v>
      </c>
      <c r="C1591" s="9">
        <v>46154</v>
      </c>
      <c r="D1591" s="9">
        <v>46157</v>
      </c>
      <c r="E1591" t="s">
        <v>97</v>
      </c>
      <c r="G1591">
        <v>36</v>
      </c>
      <c r="H1591">
        <v>193.68</v>
      </c>
      <c r="I1591" t="s">
        <v>916</v>
      </c>
      <c r="K1591" t="b">
        <f>IF(Table1[[#This Row],[dispatch_date]]-Table1[[#This Row],[order_date]] &gt;=0, TRUE, FALSE)</f>
        <v>1</v>
      </c>
    </row>
    <row r="1592" spans="1:11" x14ac:dyDescent="0.2">
      <c r="A1592" t="s">
        <v>2303</v>
      </c>
      <c r="B1592" t="s">
        <v>1060</v>
      </c>
      <c r="C1592" s="9">
        <v>46155</v>
      </c>
      <c r="D1592" s="9">
        <v>46155</v>
      </c>
      <c r="E1592" t="s">
        <v>56</v>
      </c>
      <c r="G1592">
        <v>48</v>
      </c>
      <c r="H1592">
        <v>282.24</v>
      </c>
      <c r="I1592" t="s">
        <v>956</v>
      </c>
      <c r="K1592" t="b">
        <f>IF(Table1[[#This Row],[dispatch_date]]-Table1[[#This Row],[order_date]] &gt;=0, TRUE, FALSE)</f>
        <v>1</v>
      </c>
    </row>
    <row r="1593" spans="1:11" x14ac:dyDescent="0.2">
      <c r="A1593" t="s">
        <v>2636</v>
      </c>
      <c r="B1593" t="s">
        <v>1080</v>
      </c>
      <c r="C1593" s="9">
        <v>46155</v>
      </c>
      <c r="D1593" s="9"/>
      <c r="E1593" t="s">
        <v>8</v>
      </c>
      <c r="F1593" t="s">
        <v>825</v>
      </c>
      <c r="G1593">
        <v>6</v>
      </c>
      <c r="H1593">
        <v>34.369999999999997</v>
      </c>
      <c r="I1593" t="s">
        <v>916</v>
      </c>
      <c r="K1593" t="b">
        <f>IF(Table1[[#This Row],[dispatch_date]]-Table1[[#This Row],[order_date]] &gt;=0, TRUE, FALSE)</f>
        <v>0</v>
      </c>
    </row>
    <row r="1594" spans="1:11" x14ac:dyDescent="0.2">
      <c r="A1594" t="s">
        <v>2694</v>
      </c>
      <c r="B1594" t="s">
        <v>951</v>
      </c>
      <c r="C1594" s="9">
        <v>46155</v>
      </c>
      <c r="D1594" s="9">
        <v>46156</v>
      </c>
      <c r="E1594" t="s">
        <v>114</v>
      </c>
      <c r="F1594" t="s">
        <v>471</v>
      </c>
      <c r="G1594">
        <v>24</v>
      </c>
      <c r="H1594">
        <v>118.8</v>
      </c>
      <c r="I1594" t="s">
        <v>956</v>
      </c>
      <c r="K1594" t="b">
        <f>IF(Table1[[#This Row],[dispatch_date]]-Table1[[#This Row],[order_date]] &gt;=0, TRUE, FALSE)</f>
        <v>1</v>
      </c>
    </row>
    <row r="1595" spans="1:11" x14ac:dyDescent="0.2">
      <c r="A1595" t="s">
        <v>2763</v>
      </c>
      <c r="B1595" t="s">
        <v>1046</v>
      </c>
      <c r="C1595" s="9">
        <v>46155</v>
      </c>
      <c r="D1595" s="9">
        <v>46157</v>
      </c>
      <c r="E1595" t="s">
        <v>86</v>
      </c>
      <c r="F1595" t="s">
        <v>876</v>
      </c>
      <c r="G1595">
        <v>6</v>
      </c>
      <c r="H1595">
        <v>19.14</v>
      </c>
      <c r="I1595" t="s">
        <v>912</v>
      </c>
      <c r="K1595" t="b">
        <f>IF(Table1[[#This Row],[dispatch_date]]-Table1[[#This Row],[order_date]] &gt;=0, TRUE, FALSE)</f>
        <v>1</v>
      </c>
    </row>
    <row r="1596" spans="1:11" x14ac:dyDescent="0.2">
      <c r="A1596" t="s">
        <v>1414</v>
      </c>
      <c r="B1596" t="s">
        <v>1059</v>
      </c>
      <c r="C1596" s="9">
        <v>46156</v>
      </c>
      <c r="D1596" s="9">
        <v>46159</v>
      </c>
      <c r="E1596" t="s">
        <v>67</v>
      </c>
      <c r="F1596" t="s">
        <v>398</v>
      </c>
      <c r="G1596">
        <v>6</v>
      </c>
      <c r="H1596">
        <v>31.8</v>
      </c>
      <c r="I1596" t="s">
        <v>956</v>
      </c>
      <c r="K1596" t="b">
        <f>IF(Table1[[#This Row],[dispatch_date]]-Table1[[#This Row],[order_date]] &gt;=0, TRUE, FALSE)</f>
        <v>1</v>
      </c>
    </row>
    <row r="1597" spans="1:11" x14ac:dyDescent="0.2">
      <c r="A1597" t="s">
        <v>1628</v>
      </c>
      <c r="B1597" t="s">
        <v>1016</v>
      </c>
      <c r="C1597" s="9">
        <v>46156</v>
      </c>
      <c r="D1597" s="9">
        <v>46157</v>
      </c>
      <c r="E1597" t="s">
        <v>40</v>
      </c>
      <c r="F1597" t="s">
        <v>551</v>
      </c>
      <c r="G1597">
        <v>24</v>
      </c>
      <c r="H1597">
        <v>93.36</v>
      </c>
      <c r="I1597" t="s">
        <v>912</v>
      </c>
      <c r="K1597" t="b">
        <f>IF(Table1[[#This Row],[dispatch_date]]-Table1[[#This Row],[order_date]] &gt;=0, TRUE, FALSE)</f>
        <v>1</v>
      </c>
    </row>
    <row r="1598" spans="1:11" x14ac:dyDescent="0.2">
      <c r="A1598" t="s">
        <v>2073</v>
      </c>
      <c r="B1598" t="s">
        <v>1074</v>
      </c>
      <c r="C1598" s="9">
        <v>46156</v>
      </c>
      <c r="D1598" s="9">
        <v>46159</v>
      </c>
      <c r="E1598" t="s">
        <v>99</v>
      </c>
      <c r="F1598" t="s">
        <v>812</v>
      </c>
      <c r="G1598">
        <v>36</v>
      </c>
      <c r="H1598">
        <v>252.74</v>
      </c>
      <c r="I1598" t="s">
        <v>916</v>
      </c>
      <c r="K1598" t="b">
        <f>IF(Table1[[#This Row],[dispatch_date]]-Table1[[#This Row],[order_date]] &gt;=0, TRUE, FALSE)</f>
        <v>1</v>
      </c>
    </row>
    <row r="1599" spans="1:11" x14ac:dyDescent="0.2">
      <c r="A1599" t="s">
        <v>2496</v>
      </c>
      <c r="B1599" t="s">
        <v>942</v>
      </c>
      <c r="C1599" s="9">
        <v>46156</v>
      </c>
      <c r="D1599" s="9">
        <v>46157</v>
      </c>
      <c r="E1599" t="s">
        <v>125</v>
      </c>
      <c r="F1599" t="s">
        <v>736</v>
      </c>
      <c r="G1599">
        <v>24</v>
      </c>
      <c r="H1599">
        <v>183.12</v>
      </c>
      <c r="I1599" t="s">
        <v>916</v>
      </c>
      <c r="K1599" t="b">
        <f>IF(Table1[[#This Row],[dispatch_date]]-Table1[[#This Row],[order_date]] &gt;=0, TRUE, FALSE)</f>
        <v>1</v>
      </c>
    </row>
    <row r="1600" spans="1:11" x14ac:dyDescent="0.2">
      <c r="A1600" t="s">
        <v>2633</v>
      </c>
      <c r="B1600" t="s">
        <v>945</v>
      </c>
      <c r="C1600" s="9">
        <v>46156</v>
      </c>
      <c r="D1600" s="9">
        <v>46159</v>
      </c>
      <c r="E1600" t="s">
        <v>36</v>
      </c>
      <c r="G1600">
        <v>24</v>
      </c>
      <c r="H1600">
        <v>38.99</v>
      </c>
      <c r="I1600" t="s">
        <v>938</v>
      </c>
      <c r="K1600" t="b">
        <f>IF(Table1[[#This Row],[dispatch_date]]-Table1[[#This Row],[order_date]] &gt;=0, TRUE, FALSE)</f>
        <v>1</v>
      </c>
    </row>
    <row r="1601" spans="1:11" x14ac:dyDescent="0.2">
      <c r="A1601" t="s">
        <v>1799</v>
      </c>
      <c r="B1601" t="s">
        <v>1034</v>
      </c>
      <c r="C1601" s="9">
        <v>46157</v>
      </c>
      <c r="D1601" s="9"/>
      <c r="E1601" t="s">
        <v>48</v>
      </c>
      <c r="F1601" t="s">
        <v>247</v>
      </c>
      <c r="G1601">
        <v>48</v>
      </c>
      <c r="H1601">
        <v>307.33999999999997</v>
      </c>
      <c r="I1601" t="s">
        <v>938</v>
      </c>
      <c r="K1601" t="b">
        <f>IF(Table1[[#This Row],[dispatch_date]]-Table1[[#This Row],[order_date]] &gt;=0, TRUE, FALSE)</f>
        <v>0</v>
      </c>
    </row>
    <row r="1602" spans="1:11" x14ac:dyDescent="0.2">
      <c r="A1602" t="s">
        <v>2640</v>
      </c>
      <c r="B1602" t="s">
        <v>1055</v>
      </c>
      <c r="C1602" s="9">
        <v>46157</v>
      </c>
      <c r="D1602" s="9">
        <v>46157</v>
      </c>
      <c r="E1602" t="s">
        <v>112</v>
      </c>
      <c r="F1602" t="s">
        <v>677</v>
      </c>
      <c r="G1602">
        <v>72</v>
      </c>
      <c r="H1602">
        <v>411.08</v>
      </c>
      <c r="I1602" t="s">
        <v>938</v>
      </c>
      <c r="K1602" t="b">
        <f>IF(Table1[[#This Row],[dispatch_date]]-Table1[[#This Row],[order_date]] &gt;=0, TRUE, FALSE)</f>
        <v>1</v>
      </c>
    </row>
    <row r="1603" spans="1:11" x14ac:dyDescent="0.2">
      <c r="A1603" t="s">
        <v>1278</v>
      </c>
      <c r="B1603" t="s">
        <v>939</v>
      </c>
      <c r="C1603" s="9">
        <v>46158</v>
      </c>
      <c r="D1603" s="9">
        <v>46158</v>
      </c>
      <c r="E1603" t="s">
        <v>121</v>
      </c>
      <c r="F1603" t="s">
        <v>493</v>
      </c>
      <c r="G1603">
        <v>12</v>
      </c>
      <c r="H1603">
        <v>146.38</v>
      </c>
      <c r="I1603" t="s">
        <v>916</v>
      </c>
      <c r="K1603" t="b">
        <f>IF(Table1[[#This Row],[dispatch_date]]-Table1[[#This Row],[order_date]] &gt;=0, TRUE, FALSE)</f>
        <v>1</v>
      </c>
    </row>
    <row r="1604" spans="1:11" x14ac:dyDescent="0.2">
      <c r="A1604" t="s">
        <v>2630</v>
      </c>
      <c r="B1604" t="s">
        <v>939</v>
      </c>
      <c r="C1604" s="9">
        <v>46158</v>
      </c>
      <c r="D1604" s="9">
        <v>46161</v>
      </c>
      <c r="E1604" t="s">
        <v>30</v>
      </c>
      <c r="F1604" t="s">
        <v>872</v>
      </c>
      <c r="G1604">
        <v>24</v>
      </c>
      <c r="H1604">
        <v>57.6</v>
      </c>
      <c r="I1604" t="s">
        <v>916</v>
      </c>
      <c r="K1604" t="b">
        <f>IF(Table1[[#This Row],[dispatch_date]]-Table1[[#This Row],[order_date]] &gt;=0, TRUE, FALSE)</f>
        <v>1</v>
      </c>
    </row>
    <row r="1605" spans="1:11" x14ac:dyDescent="0.2">
      <c r="A1605" t="s">
        <v>2745</v>
      </c>
      <c r="B1605" t="s">
        <v>945</v>
      </c>
      <c r="C1605" s="9">
        <v>46158</v>
      </c>
      <c r="D1605" s="9"/>
      <c r="E1605" t="s">
        <v>103</v>
      </c>
      <c r="F1605" t="s">
        <v>776</v>
      </c>
      <c r="G1605">
        <v>24</v>
      </c>
      <c r="H1605">
        <v>173.04</v>
      </c>
      <c r="I1605" t="s">
        <v>938</v>
      </c>
      <c r="K1605" t="b">
        <f>IF(Table1[[#This Row],[dispatch_date]]-Table1[[#This Row],[order_date]] &gt;=0, TRUE, FALSE)</f>
        <v>0</v>
      </c>
    </row>
    <row r="1606" spans="1:11" x14ac:dyDescent="0.2">
      <c r="A1606" t="s">
        <v>2315</v>
      </c>
      <c r="B1606" t="s">
        <v>901</v>
      </c>
      <c r="C1606" s="9">
        <v>46159</v>
      </c>
      <c r="D1606" s="9">
        <v>46160</v>
      </c>
      <c r="E1606" t="s">
        <v>93</v>
      </c>
      <c r="F1606" t="s">
        <v>204</v>
      </c>
      <c r="G1606">
        <v>72</v>
      </c>
      <c r="H1606">
        <v>200.88</v>
      </c>
      <c r="I1606" t="s">
        <v>956</v>
      </c>
      <c r="K1606" t="b">
        <f>IF(Table1[[#This Row],[dispatch_date]]-Table1[[#This Row],[order_date]] &gt;=0, TRUE, FALSE)</f>
        <v>1</v>
      </c>
    </row>
    <row r="1607" spans="1:11" x14ac:dyDescent="0.2">
      <c r="A1607" t="s">
        <v>2498</v>
      </c>
      <c r="B1607" t="s">
        <v>987</v>
      </c>
      <c r="C1607" s="9">
        <v>46159</v>
      </c>
      <c r="D1607" s="9">
        <v>46159</v>
      </c>
      <c r="E1607" t="s">
        <v>38</v>
      </c>
      <c r="F1607" t="s">
        <v>889</v>
      </c>
      <c r="G1607">
        <v>6</v>
      </c>
      <c r="H1607">
        <v>30.6</v>
      </c>
      <c r="I1607" t="s">
        <v>1079</v>
      </c>
      <c r="K1607" t="b">
        <f>IF(Table1[[#This Row],[dispatch_date]]-Table1[[#This Row],[order_date]] &gt;=0, TRUE, FALSE)</f>
        <v>1</v>
      </c>
    </row>
    <row r="1608" spans="1:11" x14ac:dyDescent="0.2">
      <c r="A1608" t="s">
        <v>1553</v>
      </c>
      <c r="B1608" t="s">
        <v>1001</v>
      </c>
      <c r="C1608" s="9">
        <v>46161</v>
      </c>
      <c r="D1608" s="9">
        <v>46162</v>
      </c>
      <c r="E1608" t="s">
        <v>103</v>
      </c>
      <c r="F1608" t="s">
        <v>583</v>
      </c>
      <c r="G1608">
        <v>12</v>
      </c>
      <c r="H1608">
        <v>86.52</v>
      </c>
      <c r="I1608" t="s">
        <v>916</v>
      </c>
      <c r="K1608" t="b">
        <f>IF(Table1[[#This Row],[dispatch_date]]-Table1[[#This Row],[order_date]] &gt;=0, TRUE, FALSE)</f>
        <v>1</v>
      </c>
    </row>
    <row r="1609" spans="1:11" x14ac:dyDescent="0.2">
      <c r="A1609" t="s">
        <v>2432</v>
      </c>
      <c r="B1609" t="s">
        <v>1064</v>
      </c>
      <c r="C1609" s="9">
        <v>46161</v>
      </c>
      <c r="D1609" s="9">
        <v>46161</v>
      </c>
      <c r="E1609" t="s">
        <v>110</v>
      </c>
      <c r="F1609" t="s">
        <v>358</v>
      </c>
      <c r="G1609">
        <v>6</v>
      </c>
      <c r="H1609">
        <v>19.62</v>
      </c>
      <c r="I1609" t="s">
        <v>1079</v>
      </c>
      <c r="K1609" t="b">
        <f>IF(Table1[[#This Row],[dispatch_date]]-Table1[[#This Row],[order_date]] &gt;=0, TRUE, FALSE)</f>
        <v>1</v>
      </c>
    </row>
    <row r="1610" spans="1:11" x14ac:dyDescent="0.2">
      <c r="A1610" t="s">
        <v>1097</v>
      </c>
      <c r="B1610" t="s">
        <v>1037</v>
      </c>
      <c r="C1610" s="9">
        <v>46162</v>
      </c>
      <c r="D1610" s="9">
        <v>46164</v>
      </c>
      <c r="E1610" t="s">
        <v>118</v>
      </c>
      <c r="G1610">
        <v>12</v>
      </c>
      <c r="H1610">
        <v>149.80000000000001</v>
      </c>
      <c r="I1610" t="s">
        <v>938</v>
      </c>
      <c r="K1610" t="b">
        <f>IF(Table1[[#This Row],[dispatch_date]]-Table1[[#This Row],[order_date]] &gt;=0, TRUE, FALSE)</f>
        <v>1</v>
      </c>
    </row>
    <row r="1611" spans="1:11" x14ac:dyDescent="0.2">
      <c r="A1611" t="s">
        <v>2336</v>
      </c>
      <c r="B1611" t="s">
        <v>960</v>
      </c>
      <c r="C1611" s="9">
        <v>46162</v>
      </c>
      <c r="D1611" s="9">
        <v>46163</v>
      </c>
      <c r="E1611" t="s">
        <v>103</v>
      </c>
      <c r="F1611" t="s">
        <v>581</v>
      </c>
      <c r="G1611">
        <v>36</v>
      </c>
      <c r="H1611">
        <v>259.56</v>
      </c>
      <c r="I1611" t="s">
        <v>927</v>
      </c>
      <c r="K1611" t="b">
        <f>IF(Table1[[#This Row],[dispatch_date]]-Table1[[#This Row],[order_date]] &gt;=0, TRUE, FALSE)</f>
        <v>1</v>
      </c>
    </row>
    <row r="1612" spans="1:11" x14ac:dyDescent="0.2">
      <c r="A1612" t="s">
        <v>1175</v>
      </c>
      <c r="B1612" t="s">
        <v>1076</v>
      </c>
      <c r="C1612" s="9">
        <v>46163</v>
      </c>
      <c r="D1612" s="9">
        <v>46166</v>
      </c>
      <c r="E1612" t="s">
        <v>22</v>
      </c>
      <c r="F1612" t="s">
        <v>238</v>
      </c>
      <c r="G1612">
        <v>12</v>
      </c>
      <c r="H1612">
        <v>59.64</v>
      </c>
      <c r="I1612" t="s">
        <v>927</v>
      </c>
      <c r="K1612" t="b">
        <f>IF(Table1[[#This Row],[dispatch_date]]-Table1[[#This Row],[order_date]] &gt;=0, TRUE, FALSE)</f>
        <v>1</v>
      </c>
    </row>
    <row r="1613" spans="1:11" x14ac:dyDescent="0.2">
      <c r="A1613" t="s">
        <v>1770</v>
      </c>
      <c r="B1613" t="s">
        <v>942</v>
      </c>
      <c r="C1613" s="9">
        <v>46163</v>
      </c>
      <c r="D1613" s="9">
        <v>46165</v>
      </c>
      <c r="E1613" t="s">
        <v>125</v>
      </c>
      <c r="F1613" t="s">
        <v>270</v>
      </c>
      <c r="G1613">
        <v>36</v>
      </c>
      <c r="H1613">
        <v>274.68</v>
      </c>
      <c r="I1613" t="s">
        <v>916</v>
      </c>
      <c r="K1613" t="b">
        <f>IF(Table1[[#This Row],[dispatch_date]]-Table1[[#This Row],[order_date]] &gt;=0, TRUE, FALSE)</f>
        <v>1</v>
      </c>
    </row>
    <row r="1614" spans="1:11" x14ac:dyDescent="0.2">
      <c r="A1614" t="s">
        <v>2148</v>
      </c>
      <c r="B1614" t="s">
        <v>1076</v>
      </c>
      <c r="C1614" s="9">
        <v>46163</v>
      </c>
      <c r="D1614" s="9">
        <v>46166</v>
      </c>
      <c r="E1614" t="s">
        <v>116</v>
      </c>
      <c r="F1614" t="s">
        <v>535</v>
      </c>
      <c r="G1614">
        <v>24</v>
      </c>
      <c r="H1614">
        <v>116.16</v>
      </c>
      <c r="I1614" t="s">
        <v>956</v>
      </c>
      <c r="K1614" t="b">
        <f>IF(Table1[[#This Row],[dispatch_date]]-Table1[[#This Row],[order_date]] &gt;=0, TRUE, FALSE)</f>
        <v>1</v>
      </c>
    </row>
    <row r="1615" spans="1:11" x14ac:dyDescent="0.2">
      <c r="A1615" t="s">
        <v>1115</v>
      </c>
      <c r="B1615" t="s">
        <v>1046</v>
      </c>
      <c r="C1615" s="9">
        <v>46164</v>
      </c>
      <c r="D1615" s="9">
        <v>46165</v>
      </c>
      <c r="E1615" t="s">
        <v>56</v>
      </c>
      <c r="F1615" t="s">
        <v>761</v>
      </c>
      <c r="G1615">
        <v>12</v>
      </c>
      <c r="H1615">
        <v>70.56</v>
      </c>
      <c r="I1615" t="s">
        <v>912</v>
      </c>
      <c r="K1615" t="b">
        <f>IF(Table1[[#This Row],[dispatch_date]]-Table1[[#This Row],[order_date]] &gt;=0, TRUE, FALSE)</f>
        <v>1</v>
      </c>
    </row>
    <row r="1616" spans="1:11" x14ac:dyDescent="0.2">
      <c r="A1616" t="s">
        <v>1675</v>
      </c>
      <c r="B1616" t="s">
        <v>1069</v>
      </c>
      <c r="C1616" s="9">
        <v>46164</v>
      </c>
      <c r="D1616" s="9">
        <v>46166</v>
      </c>
      <c r="E1616" t="s">
        <v>129</v>
      </c>
      <c r="F1616" t="s">
        <v>469</v>
      </c>
      <c r="G1616">
        <v>6</v>
      </c>
      <c r="H1616">
        <v>27.07</v>
      </c>
      <c r="I1616" t="s">
        <v>956</v>
      </c>
      <c r="K1616" t="b">
        <f>IF(Table1[[#This Row],[dispatch_date]]-Table1[[#This Row],[order_date]] &gt;=0, TRUE, FALSE)</f>
        <v>1</v>
      </c>
    </row>
    <row r="1617" spans="1:11" x14ac:dyDescent="0.2">
      <c r="A1617" t="s">
        <v>1703</v>
      </c>
      <c r="B1617" t="s">
        <v>910</v>
      </c>
      <c r="C1617" s="9">
        <v>46164</v>
      </c>
      <c r="D1617" s="9">
        <v>46167</v>
      </c>
      <c r="E1617" t="s">
        <v>22</v>
      </c>
      <c r="F1617" t="s">
        <v>768</v>
      </c>
      <c r="G1617">
        <v>24</v>
      </c>
      <c r="H1617">
        <v>113.32</v>
      </c>
      <c r="I1617" t="s">
        <v>912</v>
      </c>
      <c r="K1617" t="b">
        <f>IF(Table1[[#This Row],[dispatch_date]]-Table1[[#This Row],[order_date]] &gt;=0, TRUE, FALSE)</f>
        <v>1</v>
      </c>
    </row>
    <row r="1618" spans="1:11" x14ac:dyDescent="0.2">
      <c r="A1618" t="s">
        <v>2177</v>
      </c>
      <c r="B1618" t="s">
        <v>948</v>
      </c>
      <c r="C1618" s="9">
        <v>46164</v>
      </c>
      <c r="D1618" s="9">
        <v>46167</v>
      </c>
      <c r="E1618" t="s">
        <v>127</v>
      </c>
      <c r="G1618">
        <v>24</v>
      </c>
      <c r="H1618">
        <v>98.4</v>
      </c>
      <c r="I1618" t="s">
        <v>1079</v>
      </c>
      <c r="K1618" t="b">
        <f>IF(Table1[[#This Row],[dispatch_date]]-Table1[[#This Row],[order_date]] &gt;=0, TRUE, FALSE)</f>
        <v>1</v>
      </c>
    </row>
    <row r="1619" spans="1:11" x14ac:dyDescent="0.2">
      <c r="A1619" t="s">
        <v>2686</v>
      </c>
      <c r="B1619" t="s">
        <v>1013</v>
      </c>
      <c r="C1619" s="9">
        <v>46164</v>
      </c>
      <c r="D1619" s="9"/>
      <c r="E1619" t="s">
        <v>112</v>
      </c>
      <c r="F1619" t="s">
        <v>481</v>
      </c>
      <c r="G1619">
        <v>24</v>
      </c>
      <c r="H1619">
        <v>144.24</v>
      </c>
      <c r="I1619" t="s">
        <v>956</v>
      </c>
      <c r="K1619" t="b">
        <f>IF(Table1[[#This Row],[dispatch_date]]-Table1[[#This Row],[order_date]] &gt;=0, TRUE, FALSE)</f>
        <v>0</v>
      </c>
    </row>
    <row r="1620" spans="1:11" x14ac:dyDescent="0.2">
      <c r="A1620" t="s">
        <v>2820</v>
      </c>
      <c r="B1620" t="s">
        <v>1021</v>
      </c>
      <c r="C1620" s="9">
        <v>46164</v>
      </c>
      <c r="D1620" s="9"/>
      <c r="E1620" t="s">
        <v>110</v>
      </c>
      <c r="F1620" t="s">
        <v>842</v>
      </c>
      <c r="G1620">
        <v>24</v>
      </c>
      <c r="H1620">
        <v>78.48</v>
      </c>
      <c r="I1620" t="s">
        <v>1079</v>
      </c>
      <c r="K1620" t="b">
        <f>IF(Table1[[#This Row],[dispatch_date]]-Table1[[#This Row],[order_date]] &gt;=0, TRUE, FALSE)</f>
        <v>0</v>
      </c>
    </row>
    <row r="1621" spans="1:11" x14ac:dyDescent="0.2">
      <c r="A1621" t="s">
        <v>1885</v>
      </c>
      <c r="B1621" t="s">
        <v>960</v>
      </c>
      <c r="C1621" s="9">
        <v>46165</v>
      </c>
      <c r="D1621" s="9">
        <v>46167</v>
      </c>
      <c r="E1621" t="s">
        <v>95</v>
      </c>
      <c r="G1621">
        <v>24</v>
      </c>
      <c r="H1621">
        <v>89.83</v>
      </c>
      <c r="I1621" t="s">
        <v>938</v>
      </c>
      <c r="K1621" t="b">
        <f>IF(Table1[[#This Row],[dispatch_date]]-Table1[[#This Row],[order_date]] &gt;=0, TRUE, FALSE)</f>
        <v>1</v>
      </c>
    </row>
    <row r="1622" spans="1:11" x14ac:dyDescent="0.2">
      <c r="A1622" t="s">
        <v>1911</v>
      </c>
      <c r="B1622" t="s">
        <v>989</v>
      </c>
      <c r="C1622" s="9">
        <v>46165</v>
      </c>
      <c r="D1622" s="9">
        <v>46166</v>
      </c>
      <c r="E1622" t="s">
        <v>58</v>
      </c>
      <c r="F1622" t="s">
        <v>372</v>
      </c>
      <c r="G1622">
        <v>24</v>
      </c>
      <c r="H1622">
        <v>151.19999999999999</v>
      </c>
      <c r="I1622" t="s">
        <v>916</v>
      </c>
      <c r="K1622" t="b">
        <f>IF(Table1[[#This Row],[dispatch_date]]-Table1[[#This Row],[order_date]] &gt;=0, TRUE, FALSE)</f>
        <v>1</v>
      </c>
    </row>
    <row r="1623" spans="1:11" x14ac:dyDescent="0.2">
      <c r="A1623" t="s">
        <v>2206</v>
      </c>
      <c r="B1623" t="s">
        <v>932</v>
      </c>
      <c r="C1623" s="9">
        <v>46165</v>
      </c>
      <c r="D1623" s="9">
        <v>46167</v>
      </c>
      <c r="E1623" t="s">
        <v>123</v>
      </c>
      <c r="F1623" t="s">
        <v>855</v>
      </c>
      <c r="G1623">
        <v>48</v>
      </c>
      <c r="H1623">
        <v>335.52</v>
      </c>
      <c r="I1623" t="s">
        <v>956</v>
      </c>
      <c r="K1623" t="b">
        <f>IF(Table1[[#This Row],[dispatch_date]]-Table1[[#This Row],[order_date]] &gt;=0, TRUE, FALSE)</f>
        <v>1</v>
      </c>
    </row>
    <row r="1624" spans="1:11" x14ac:dyDescent="0.2">
      <c r="A1624" t="s">
        <v>2863</v>
      </c>
      <c r="B1624" t="s">
        <v>1009</v>
      </c>
      <c r="C1624" s="9">
        <v>46165</v>
      </c>
      <c r="D1624" s="9">
        <v>46168</v>
      </c>
      <c r="E1624" t="s">
        <v>69</v>
      </c>
      <c r="G1624">
        <v>72</v>
      </c>
      <c r="H1624">
        <v>384.48</v>
      </c>
      <c r="I1624" t="s">
        <v>912</v>
      </c>
      <c r="K1624" t="b">
        <f>IF(Table1[[#This Row],[dispatch_date]]-Table1[[#This Row],[order_date]] &gt;=0, TRUE, FALSE)</f>
        <v>1</v>
      </c>
    </row>
    <row r="1625" spans="1:11" x14ac:dyDescent="0.2">
      <c r="A1625" t="s">
        <v>1780</v>
      </c>
      <c r="B1625" t="s">
        <v>1060</v>
      </c>
      <c r="C1625" s="9">
        <v>46166</v>
      </c>
      <c r="D1625" s="9">
        <v>46169</v>
      </c>
      <c r="E1625" t="s">
        <v>112</v>
      </c>
      <c r="F1625" t="s">
        <v>263</v>
      </c>
      <c r="G1625">
        <v>12</v>
      </c>
      <c r="H1625">
        <v>72.12</v>
      </c>
      <c r="I1625" t="s">
        <v>956</v>
      </c>
      <c r="K1625" t="b">
        <f>IF(Table1[[#This Row],[dispatch_date]]-Table1[[#This Row],[order_date]] &gt;=0, TRUE, FALSE)</f>
        <v>1</v>
      </c>
    </row>
    <row r="1626" spans="1:11" x14ac:dyDescent="0.2">
      <c r="A1626" t="s">
        <v>1957</v>
      </c>
      <c r="B1626" t="s">
        <v>954</v>
      </c>
      <c r="C1626" s="9">
        <v>46166</v>
      </c>
      <c r="D1626" s="9">
        <v>46166</v>
      </c>
      <c r="E1626" t="s">
        <v>19</v>
      </c>
      <c r="F1626" t="s">
        <v>369</v>
      </c>
      <c r="G1626">
        <v>24</v>
      </c>
      <c r="H1626">
        <v>48.72</v>
      </c>
      <c r="I1626" t="s">
        <v>956</v>
      </c>
      <c r="K1626" t="b">
        <f>IF(Table1[[#This Row],[dispatch_date]]-Table1[[#This Row],[order_date]] &gt;=0, TRUE, FALSE)</f>
        <v>1</v>
      </c>
    </row>
    <row r="1627" spans="1:11" x14ac:dyDescent="0.2">
      <c r="A1627" t="s">
        <v>2644</v>
      </c>
      <c r="B1627" t="s">
        <v>1004</v>
      </c>
      <c r="C1627" s="9">
        <v>46166</v>
      </c>
      <c r="D1627" s="9">
        <v>46167</v>
      </c>
      <c r="E1627" t="s">
        <v>116</v>
      </c>
      <c r="F1627" t="s">
        <v>386</v>
      </c>
      <c r="G1627">
        <v>24</v>
      </c>
      <c r="H1627">
        <v>116.16</v>
      </c>
      <c r="I1627" t="s">
        <v>916</v>
      </c>
      <c r="K1627" t="b">
        <f>IF(Table1[[#This Row],[dispatch_date]]-Table1[[#This Row],[order_date]] &gt;=0, TRUE, FALSE)</f>
        <v>1</v>
      </c>
    </row>
    <row r="1628" spans="1:11" x14ac:dyDescent="0.2">
      <c r="A1628" t="s">
        <v>1493</v>
      </c>
      <c r="B1628" t="s">
        <v>939</v>
      </c>
      <c r="C1628" s="9">
        <v>46167</v>
      </c>
      <c r="D1628" s="9">
        <v>46168</v>
      </c>
      <c r="E1628" t="s">
        <v>78</v>
      </c>
      <c r="G1628">
        <v>24</v>
      </c>
      <c r="H1628">
        <v>76.8</v>
      </c>
      <c r="I1628" t="s">
        <v>916</v>
      </c>
      <c r="K1628" t="b">
        <f>IF(Table1[[#This Row],[dispatch_date]]-Table1[[#This Row],[order_date]] &gt;=0, TRUE, FALSE)</f>
        <v>1</v>
      </c>
    </row>
    <row r="1629" spans="1:11" x14ac:dyDescent="0.2">
      <c r="A1629" t="s">
        <v>1498</v>
      </c>
      <c r="B1629" t="s">
        <v>1040</v>
      </c>
      <c r="C1629" s="9">
        <v>46167</v>
      </c>
      <c r="D1629" s="9">
        <v>46167</v>
      </c>
      <c r="E1629" t="s">
        <v>103</v>
      </c>
      <c r="F1629" t="s">
        <v>581</v>
      </c>
      <c r="G1629">
        <v>48</v>
      </c>
      <c r="H1629">
        <v>346.08</v>
      </c>
      <c r="I1629" t="s">
        <v>916</v>
      </c>
      <c r="K1629" t="b">
        <f>IF(Table1[[#This Row],[dispatch_date]]-Table1[[#This Row],[order_date]] &gt;=0, TRUE, FALSE)</f>
        <v>1</v>
      </c>
    </row>
    <row r="1630" spans="1:11" x14ac:dyDescent="0.2">
      <c r="A1630" t="s">
        <v>1783</v>
      </c>
      <c r="B1630" t="s">
        <v>954</v>
      </c>
      <c r="C1630" s="9">
        <v>46167</v>
      </c>
      <c r="D1630" s="9">
        <v>46170</v>
      </c>
      <c r="E1630" t="s">
        <v>123</v>
      </c>
      <c r="F1630" t="s">
        <v>627</v>
      </c>
      <c r="G1630">
        <v>48</v>
      </c>
      <c r="H1630">
        <v>335.52</v>
      </c>
      <c r="I1630" t="s">
        <v>956</v>
      </c>
      <c r="K1630" t="b">
        <f>IF(Table1[[#This Row],[dispatch_date]]-Table1[[#This Row],[order_date]] &gt;=0, TRUE, FALSE)</f>
        <v>1</v>
      </c>
    </row>
    <row r="1631" spans="1:11" x14ac:dyDescent="0.2">
      <c r="A1631" t="s">
        <v>2161</v>
      </c>
      <c r="B1631" t="s">
        <v>922</v>
      </c>
      <c r="C1631" s="9">
        <v>46167</v>
      </c>
      <c r="D1631" s="9">
        <v>46169</v>
      </c>
      <c r="E1631" t="s">
        <v>86</v>
      </c>
      <c r="F1631" t="s">
        <v>778</v>
      </c>
      <c r="G1631">
        <v>24</v>
      </c>
      <c r="H1631">
        <v>72.73</v>
      </c>
      <c r="I1631" t="s">
        <v>912</v>
      </c>
      <c r="K1631" t="b">
        <f>IF(Table1[[#This Row],[dispatch_date]]-Table1[[#This Row],[order_date]] &gt;=0, TRUE, FALSE)</f>
        <v>1</v>
      </c>
    </row>
    <row r="1632" spans="1:11" x14ac:dyDescent="0.2">
      <c r="A1632" t="s">
        <v>2460</v>
      </c>
      <c r="B1632" t="s">
        <v>960</v>
      </c>
      <c r="C1632" s="9">
        <v>46167</v>
      </c>
      <c r="D1632" s="9"/>
      <c r="E1632" t="s">
        <v>42</v>
      </c>
      <c r="F1632" t="s">
        <v>411</v>
      </c>
      <c r="G1632">
        <v>72</v>
      </c>
      <c r="H1632">
        <v>235.44</v>
      </c>
      <c r="I1632" t="s">
        <v>938</v>
      </c>
      <c r="K1632" t="b">
        <f>IF(Table1[[#This Row],[dispatch_date]]-Table1[[#This Row],[order_date]] &gt;=0, TRUE, FALSE)</f>
        <v>0</v>
      </c>
    </row>
    <row r="1633" spans="1:11" x14ac:dyDescent="0.2">
      <c r="A1633" t="s">
        <v>1479</v>
      </c>
      <c r="B1633" t="s">
        <v>1060</v>
      </c>
      <c r="C1633" s="9">
        <v>46168</v>
      </c>
      <c r="D1633" s="9">
        <v>46170</v>
      </c>
      <c r="E1633" t="s">
        <v>42</v>
      </c>
      <c r="F1633" t="s">
        <v>874</v>
      </c>
      <c r="G1633">
        <v>24</v>
      </c>
      <c r="H1633">
        <v>78.48</v>
      </c>
      <c r="I1633" t="s">
        <v>956</v>
      </c>
      <c r="K1633" t="b">
        <f>IF(Table1[[#This Row],[dispatch_date]]-Table1[[#This Row],[order_date]] &gt;=0, TRUE, FALSE)</f>
        <v>1</v>
      </c>
    </row>
    <row r="1634" spans="1:11" x14ac:dyDescent="0.2">
      <c r="A1634" t="s">
        <v>1993</v>
      </c>
      <c r="B1634" t="s">
        <v>993</v>
      </c>
      <c r="C1634" s="9">
        <v>46168</v>
      </c>
      <c r="D1634" s="9">
        <v>46168</v>
      </c>
      <c r="E1634" t="s">
        <v>50</v>
      </c>
      <c r="F1634" t="s">
        <v>525</v>
      </c>
      <c r="G1634">
        <v>12</v>
      </c>
      <c r="H1634">
        <v>73.2</v>
      </c>
      <c r="I1634" t="s">
        <v>938</v>
      </c>
      <c r="K1634" t="b">
        <f>IF(Table1[[#This Row],[dispatch_date]]-Table1[[#This Row],[order_date]] &gt;=0, TRUE, FALSE)</f>
        <v>1</v>
      </c>
    </row>
    <row r="1635" spans="1:11" x14ac:dyDescent="0.2">
      <c r="A1635" t="s">
        <v>2018</v>
      </c>
      <c r="B1635" t="s">
        <v>1040</v>
      </c>
      <c r="C1635" s="9">
        <v>46168</v>
      </c>
      <c r="D1635" s="9">
        <v>46169</v>
      </c>
      <c r="E1635" t="s">
        <v>52</v>
      </c>
      <c r="F1635" t="s">
        <v>796</v>
      </c>
      <c r="G1635">
        <v>72</v>
      </c>
      <c r="H1635">
        <v>337.21</v>
      </c>
      <c r="I1635" t="s">
        <v>956</v>
      </c>
      <c r="K1635" t="b">
        <f>IF(Table1[[#This Row],[dispatch_date]]-Table1[[#This Row],[order_date]] &gt;=0, TRUE, FALSE)</f>
        <v>1</v>
      </c>
    </row>
    <row r="1636" spans="1:11" x14ac:dyDescent="0.2">
      <c r="A1636" t="s">
        <v>2195</v>
      </c>
      <c r="B1636" t="s">
        <v>1052</v>
      </c>
      <c r="C1636" s="9">
        <v>46168</v>
      </c>
      <c r="D1636" s="9">
        <v>46169</v>
      </c>
      <c r="E1636" t="s">
        <v>88</v>
      </c>
      <c r="F1636" t="s">
        <v>864</v>
      </c>
      <c r="G1636">
        <v>72</v>
      </c>
      <c r="H1636">
        <v>297.36</v>
      </c>
      <c r="I1636" t="s">
        <v>956</v>
      </c>
      <c r="K1636" t="b">
        <f>IF(Table1[[#This Row],[dispatch_date]]-Table1[[#This Row],[order_date]] &gt;=0, TRUE, FALSE)</f>
        <v>1</v>
      </c>
    </row>
    <row r="1637" spans="1:11" x14ac:dyDescent="0.2">
      <c r="A1637" t="s">
        <v>2238</v>
      </c>
      <c r="B1637" t="s">
        <v>1021</v>
      </c>
      <c r="C1637" s="9">
        <v>46168</v>
      </c>
      <c r="D1637" s="9">
        <v>46169</v>
      </c>
      <c r="E1637" t="s">
        <v>97</v>
      </c>
      <c r="F1637" t="s">
        <v>810</v>
      </c>
      <c r="G1637">
        <v>36</v>
      </c>
      <c r="H1637">
        <v>193.68</v>
      </c>
      <c r="I1637" t="s">
        <v>938</v>
      </c>
      <c r="K1637" t="b">
        <f>IF(Table1[[#This Row],[dispatch_date]]-Table1[[#This Row],[order_date]] &gt;=0, TRUE, FALSE)</f>
        <v>1</v>
      </c>
    </row>
    <row r="1638" spans="1:11" x14ac:dyDescent="0.2">
      <c r="A1638" t="s">
        <v>2749</v>
      </c>
      <c r="B1638" t="s">
        <v>1040</v>
      </c>
      <c r="C1638" s="9">
        <v>46168</v>
      </c>
      <c r="D1638" s="9">
        <v>46170</v>
      </c>
      <c r="E1638" t="s">
        <v>65</v>
      </c>
      <c r="F1638" t="s">
        <v>807</v>
      </c>
      <c r="G1638">
        <v>24</v>
      </c>
      <c r="H1638">
        <v>318.48</v>
      </c>
      <c r="I1638" t="s">
        <v>956</v>
      </c>
      <c r="K1638" t="b">
        <f>IF(Table1[[#This Row],[dispatch_date]]-Table1[[#This Row],[order_date]] &gt;=0, TRUE, FALSE)</f>
        <v>1</v>
      </c>
    </row>
    <row r="1639" spans="1:11" x14ac:dyDescent="0.2">
      <c r="A1639" t="s">
        <v>1148</v>
      </c>
      <c r="B1639" t="s">
        <v>1029</v>
      </c>
      <c r="C1639" s="9">
        <v>46169</v>
      </c>
      <c r="D1639" s="9">
        <v>46172</v>
      </c>
      <c r="E1639" t="s">
        <v>103</v>
      </c>
      <c r="F1639" t="s">
        <v>887</v>
      </c>
      <c r="G1639">
        <v>72</v>
      </c>
      <c r="H1639">
        <v>519.12</v>
      </c>
      <c r="I1639" t="s">
        <v>938</v>
      </c>
      <c r="K1639" t="b">
        <f>IF(Table1[[#This Row],[dispatch_date]]-Table1[[#This Row],[order_date]] &gt;=0, TRUE, FALSE)</f>
        <v>1</v>
      </c>
    </row>
    <row r="1640" spans="1:11" x14ac:dyDescent="0.2">
      <c r="A1640" t="s">
        <v>1580</v>
      </c>
      <c r="B1640" t="s">
        <v>1037</v>
      </c>
      <c r="C1640" s="9">
        <v>46169</v>
      </c>
      <c r="D1640" s="9">
        <v>46169</v>
      </c>
      <c r="E1640" t="s">
        <v>58</v>
      </c>
      <c r="F1640" t="s">
        <v>372</v>
      </c>
      <c r="G1640">
        <v>24</v>
      </c>
      <c r="H1640">
        <v>151.19999999999999</v>
      </c>
      <c r="I1640" t="s">
        <v>938</v>
      </c>
      <c r="K1640" t="b">
        <f>IF(Table1[[#This Row],[dispatch_date]]-Table1[[#This Row],[order_date]] &gt;=0, TRUE, FALSE)</f>
        <v>1</v>
      </c>
    </row>
    <row r="1641" spans="1:11" x14ac:dyDescent="0.2">
      <c r="A1641" t="s">
        <v>2330</v>
      </c>
      <c r="B1641" t="s">
        <v>996</v>
      </c>
      <c r="C1641" s="9">
        <v>46169</v>
      </c>
      <c r="D1641" s="9">
        <v>46170</v>
      </c>
      <c r="E1641" t="s">
        <v>71</v>
      </c>
      <c r="G1641">
        <v>24</v>
      </c>
      <c r="H1641">
        <v>228.24</v>
      </c>
      <c r="I1641" t="s">
        <v>956</v>
      </c>
      <c r="K1641" t="b">
        <f>IF(Table1[[#This Row],[dispatch_date]]-Table1[[#This Row],[order_date]] &gt;=0, TRUE, FALSE)</f>
        <v>1</v>
      </c>
    </row>
    <row r="1642" spans="1:11" x14ac:dyDescent="0.2">
      <c r="A1642" t="s">
        <v>1307</v>
      </c>
      <c r="B1642" t="s">
        <v>1013</v>
      </c>
      <c r="C1642" s="9">
        <v>46170</v>
      </c>
      <c r="D1642" s="9">
        <v>46170</v>
      </c>
      <c r="E1642" t="s">
        <v>116</v>
      </c>
      <c r="F1642" t="s">
        <v>870</v>
      </c>
      <c r="G1642">
        <v>24</v>
      </c>
      <c r="H1642">
        <v>116.16</v>
      </c>
      <c r="I1642" t="s">
        <v>956</v>
      </c>
      <c r="K1642" t="b">
        <f>IF(Table1[[#This Row],[dispatch_date]]-Table1[[#This Row],[order_date]] &gt;=0, TRUE, FALSE)</f>
        <v>1</v>
      </c>
    </row>
    <row r="1643" spans="1:11" x14ac:dyDescent="0.2">
      <c r="A1643" t="s">
        <v>1314</v>
      </c>
      <c r="B1643" t="s">
        <v>962</v>
      </c>
      <c r="C1643" s="9">
        <v>46170</v>
      </c>
      <c r="D1643" s="9">
        <v>46170</v>
      </c>
      <c r="E1643" t="s">
        <v>80</v>
      </c>
      <c r="F1643" t="s">
        <v>352</v>
      </c>
      <c r="G1643">
        <v>72</v>
      </c>
      <c r="H1643">
        <v>428.4</v>
      </c>
      <c r="I1643" t="s">
        <v>956</v>
      </c>
      <c r="K1643" t="b">
        <f>IF(Table1[[#This Row],[dispatch_date]]-Table1[[#This Row],[order_date]] &gt;=0, TRUE, FALSE)</f>
        <v>1</v>
      </c>
    </row>
    <row r="1644" spans="1:11" x14ac:dyDescent="0.2">
      <c r="A1644" t="s">
        <v>1610</v>
      </c>
      <c r="B1644" t="s">
        <v>968</v>
      </c>
      <c r="C1644" s="9">
        <v>46170</v>
      </c>
      <c r="D1644" s="9">
        <v>46171</v>
      </c>
      <c r="E1644" t="s">
        <v>110</v>
      </c>
      <c r="F1644" t="s">
        <v>358</v>
      </c>
      <c r="G1644">
        <v>24</v>
      </c>
      <c r="H1644">
        <v>78.48</v>
      </c>
      <c r="I1644" t="s">
        <v>938</v>
      </c>
      <c r="K1644" t="b">
        <f>IF(Table1[[#This Row],[dispatch_date]]-Table1[[#This Row],[order_date]] &gt;=0, TRUE, FALSE)</f>
        <v>1</v>
      </c>
    </row>
    <row r="1645" spans="1:11" x14ac:dyDescent="0.2">
      <c r="A1645" t="s">
        <v>1920</v>
      </c>
      <c r="B1645" t="s">
        <v>906</v>
      </c>
      <c r="C1645" s="9">
        <v>46170</v>
      </c>
      <c r="D1645" s="9">
        <v>46173</v>
      </c>
      <c r="E1645" t="s">
        <v>44</v>
      </c>
      <c r="F1645" t="s">
        <v>349</v>
      </c>
      <c r="G1645">
        <v>6</v>
      </c>
      <c r="H1645">
        <v>36.299999999999997</v>
      </c>
      <c r="I1645" t="s">
        <v>938</v>
      </c>
      <c r="K1645" t="b">
        <f>IF(Table1[[#This Row],[dispatch_date]]-Table1[[#This Row],[order_date]] &gt;=0, TRUE, FALSE)</f>
        <v>1</v>
      </c>
    </row>
    <row r="1646" spans="1:11" x14ac:dyDescent="0.2">
      <c r="A1646" t="s">
        <v>2339</v>
      </c>
      <c r="B1646" t="s">
        <v>960</v>
      </c>
      <c r="C1646" s="9">
        <v>46170</v>
      </c>
      <c r="D1646" s="9">
        <v>46170</v>
      </c>
      <c r="E1646" t="s">
        <v>110</v>
      </c>
      <c r="F1646" t="s">
        <v>866</v>
      </c>
      <c r="G1646">
        <v>6</v>
      </c>
      <c r="H1646">
        <v>19.62</v>
      </c>
      <c r="I1646" t="s">
        <v>927</v>
      </c>
      <c r="K1646" t="b">
        <f>IF(Table1[[#This Row],[dispatch_date]]-Table1[[#This Row],[order_date]] &gt;=0, TRUE, FALSE)</f>
        <v>1</v>
      </c>
    </row>
    <row r="1647" spans="1:11" x14ac:dyDescent="0.2">
      <c r="A1647" t="s">
        <v>2554</v>
      </c>
      <c r="B1647" t="s">
        <v>1048</v>
      </c>
      <c r="C1647" s="9">
        <v>46170</v>
      </c>
      <c r="D1647" s="9">
        <v>46170</v>
      </c>
      <c r="E1647" t="s">
        <v>95</v>
      </c>
      <c r="F1647" t="s">
        <v>321</v>
      </c>
      <c r="G1647">
        <v>36</v>
      </c>
      <c r="H1647">
        <v>141.84</v>
      </c>
      <c r="I1647" t="s">
        <v>912</v>
      </c>
      <c r="K1647" t="b">
        <f>IF(Table1[[#This Row],[dispatch_date]]-Table1[[#This Row],[order_date]] &gt;=0, TRUE, FALSE)</f>
        <v>1</v>
      </c>
    </row>
    <row r="1648" spans="1:11" x14ac:dyDescent="0.2">
      <c r="A1648" t="s">
        <v>1279</v>
      </c>
      <c r="B1648" t="s">
        <v>1076</v>
      </c>
      <c r="C1648" s="9">
        <v>46171</v>
      </c>
      <c r="D1648" s="9">
        <v>46174</v>
      </c>
      <c r="E1648" t="s">
        <v>69</v>
      </c>
      <c r="F1648" t="s">
        <v>846</v>
      </c>
      <c r="G1648">
        <v>24</v>
      </c>
      <c r="H1648">
        <v>128.16</v>
      </c>
      <c r="I1648" t="s">
        <v>927</v>
      </c>
      <c r="K1648" t="b">
        <f>IF(Table1[[#This Row],[dispatch_date]]-Table1[[#This Row],[order_date]] &gt;=0, TRUE, FALSE)</f>
        <v>1</v>
      </c>
    </row>
    <row r="1649" spans="1:11" x14ac:dyDescent="0.2">
      <c r="A1649" t="s">
        <v>2304</v>
      </c>
      <c r="B1649" t="s">
        <v>1069</v>
      </c>
      <c r="C1649" s="9">
        <v>46171</v>
      </c>
      <c r="D1649" s="9">
        <v>46173</v>
      </c>
      <c r="E1649" t="s">
        <v>58</v>
      </c>
      <c r="F1649" t="s">
        <v>372</v>
      </c>
      <c r="G1649">
        <v>12</v>
      </c>
      <c r="H1649">
        <v>75.599999999999994</v>
      </c>
      <c r="I1649" t="s">
        <v>956</v>
      </c>
      <c r="K1649" t="b">
        <f>IF(Table1[[#This Row],[dispatch_date]]-Table1[[#This Row],[order_date]] &gt;=0, TRUE, FALSE)</f>
        <v>1</v>
      </c>
    </row>
    <row r="1650" spans="1:11" x14ac:dyDescent="0.2">
      <c r="A1650" t="s">
        <v>2715</v>
      </c>
      <c r="B1650" t="s">
        <v>968</v>
      </c>
      <c r="C1650" s="9">
        <v>46171</v>
      </c>
      <c r="D1650" s="9"/>
      <c r="E1650" t="s">
        <v>30</v>
      </c>
      <c r="F1650" t="s">
        <v>872</v>
      </c>
      <c r="G1650">
        <v>24</v>
      </c>
      <c r="H1650">
        <v>57.6</v>
      </c>
      <c r="I1650" t="s">
        <v>938</v>
      </c>
      <c r="K1650" t="b">
        <f>IF(Table1[[#This Row],[dispatch_date]]-Table1[[#This Row],[order_date]] &gt;=0, TRUE, FALSE)</f>
        <v>0</v>
      </c>
    </row>
    <row r="1651" spans="1:11" x14ac:dyDescent="0.2">
      <c r="A1651" t="s">
        <v>2846</v>
      </c>
      <c r="B1651" t="s">
        <v>1046</v>
      </c>
      <c r="C1651" s="9">
        <v>46171</v>
      </c>
      <c r="D1651" s="9">
        <v>46174</v>
      </c>
      <c r="E1651" t="s">
        <v>8</v>
      </c>
      <c r="F1651" t="s">
        <v>473</v>
      </c>
      <c r="G1651">
        <v>6</v>
      </c>
      <c r="H1651">
        <v>34.369999999999997</v>
      </c>
      <c r="I1651" t="s">
        <v>912</v>
      </c>
      <c r="K1651" t="b">
        <f>IF(Table1[[#This Row],[dispatch_date]]-Table1[[#This Row],[order_date]] &gt;=0, TRUE, FALSE)</f>
        <v>1</v>
      </c>
    </row>
    <row r="1652" spans="1:11" x14ac:dyDescent="0.2">
      <c r="A1652" t="s">
        <v>1531</v>
      </c>
      <c r="B1652" t="s">
        <v>1024</v>
      </c>
      <c r="C1652" s="9">
        <v>46172</v>
      </c>
      <c r="D1652" s="9">
        <v>46173</v>
      </c>
      <c r="E1652" t="s">
        <v>50</v>
      </c>
      <c r="F1652" t="s">
        <v>389</v>
      </c>
      <c r="G1652">
        <v>24</v>
      </c>
      <c r="H1652">
        <v>146.4</v>
      </c>
      <c r="I1652" t="s">
        <v>938</v>
      </c>
      <c r="K1652" t="b">
        <f>IF(Table1[[#This Row],[dispatch_date]]-Table1[[#This Row],[order_date]] &gt;=0, TRUE, FALSE)</f>
        <v>1</v>
      </c>
    </row>
    <row r="1653" spans="1:11" x14ac:dyDescent="0.2">
      <c r="A1653" t="s">
        <v>1533</v>
      </c>
      <c r="B1653" t="s">
        <v>954</v>
      </c>
      <c r="C1653" s="9">
        <v>46172</v>
      </c>
      <c r="D1653" s="9">
        <v>46175</v>
      </c>
      <c r="E1653" t="s">
        <v>118</v>
      </c>
      <c r="F1653" t="s">
        <v>500</v>
      </c>
      <c r="G1653">
        <v>36</v>
      </c>
      <c r="H1653">
        <v>473.04</v>
      </c>
      <c r="I1653" t="s">
        <v>1079</v>
      </c>
      <c r="K1653" t="b">
        <f>IF(Table1[[#This Row],[dispatch_date]]-Table1[[#This Row],[order_date]] &gt;=0, TRUE, FALSE)</f>
        <v>1</v>
      </c>
    </row>
    <row r="1654" spans="1:11" x14ac:dyDescent="0.2">
      <c r="A1654" t="s">
        <v>1689</v>
      </c>
      <c r="B1654" t="s">
        <v>1016</v>
      </c>
      <c r="C1654" s="9">
        <v>46172</v>
      </c>
      <c r="D1654" s="9"/>
      <c r="E1654" t="s">
        <v>28</v>
      </c>
      <c r="F1654" t="s">
        <v>435</v>
      </c>
      <c r="G1654">
        <v>24</v>
      </c>
      <c r="H1654">
        <v>137.76</v>
      </c>
      <c r="I1654" t="s">
        <v>912</v>
      </c>
      <c r="K1654" t="b">
        <f>IF(Table1[[#This Row],[dispatch_date]]-Table1[[#This Row],[order_date]] &gt;=0, TRUE, FALSE)</f>
        <v>0</v>
      </c>
    </row>
    <row r="1655" spans="1:11" x14ac:dyDescent="0.2">
      <c r="A1655" t="s">
        <v>2222</v>
      </c>
      <c r="B1655" t="s">
        <v>1040</v>
      </c>
      <c r="C1655" s="9">
        <v>46172</v>
      </c>
      <c r="D1655" s="9">
        <v>46174</v>
      </c>
      <c r="E1655" t="s">
        <v>17</v>
      </c>
      <c r="F1655" t="s">
        <v>585</v>
      </c>
      <c r="G1655">
        <v>48</v>
      </c>
      <c r="H1655">
        <v>287.52</v>
      </c>
      <c r="I1655" t="s">
        <v>927</v>
      </c>
      <c r="K1655" t="b">
        <f>IF(Table1[[#This Row],[dispatch_date]]-Table1[[#This Row],[order_date]] &gt;=0, TRUE, FALSE)</f>
        <v>1</v>
      </c>
    </row>
    <row r="1656" spans="1:11" x14ac:dyDescent="0.2">
      <c r="A1656" t="s">
        <v>2637</v>
      </c>
      <c r="B1656" t="s">
        <v>968</v>
      </c>
      <c r="C1656" s="9">
        <v>46172</v>
      </c>
      <c r="D1656" s="9">
        <v>46175</v>
      </c>
      <c r="E1656" t="s">
        <v>48</v>
      </c>
      <c r="F1656" t="s">
        <v>629</v>
      </c>
      <c r="G1656">
        <v>24</v>
      </c>
      <c r="H1656">
        <v>161.76</v>
      </c>
      <c r="I1656" t="s">
        <v>938</v>
      </c>
      <c r="K1656" t="b">
        <f>IF(Table1[[#This Row],[dispatch_date]]-Table1[[#This Row],[order_date]] &gt;=0, TRUE, FALSE)</f>
        <v>1</v>
      </c>
    </row>
    <row r="1657" spans="1:11" x14ac:dyDescent="0.2">
      <c r="A1657" t="s">
        <v>2824</v>
      </c>
      <c r="B1657" t="s">
        <v>1077</v>
      </c>
      <c r="C1657" s="9">
        <v>46172</v>
      </c>
      <c r="D1657" s="9">
        <v>46173</v>
      </c>
      <c r="E1657" t="s">
        <v>116</v>
      </c>
      <c r="F1657" t="s">
        <v>543</v>
      </c>
      <c r="G1657">
        <v>12</v>
      </c>
      <c r="H1657">
        <v>58.08</v>
      </c>
      <c r="I1657" t="s">
        <v>1079</v>
      </c>
      <c r="K1657" t="b">
        <f>IF(Table1[[#This Row],[dispatch_date]]-Table1[[#This Row],[order_date]] &gt;=0, TRUE, FALSE)</f>
        <v>1</v>
      </c>
    </row>
    <row r="1658" spans="1:11" x14ac:dyDescent="0.2">
      <c r="A1658" t="s">
        <v>1119</v>
      </c>
      <c r="B1658" t="s">
        <v>914</v>
      </c>
      <c r="C1658" s="9">
        <v>46173</v>
      </c>
      <c r="D1658" s="9">
        <v>46173</v>
      </c>
      <c r="E1658" t="s">
        <v>38</v>
      </c>
      <c r="F1658" t="s">
        <v>889</v>
      </c>
      <c r="G1658">
        <v>6</v>
      </c>
      <c r="H1658">
        <v>30.6</v>
      </c>
      <c r="I1658" t="s">
        <v>916</v>
      </c>
      <c r="K1658" t="b">
        <f>IF(Table1[[#This Row],[dispatch_date]]-Table1[[#This Row],[order_date]] &gt;=0, TRUE, FALSE)</f>
        <v>1</v>
      </c>
    </row>
    <row r="1659" spans="1:11" x14ac:dyDescent="0.2">
      <c r="A1659" t="s">
        <v>1216</v>
      </c>
      <c r="B1659" t="s">
        <v>1052</v>
      </c>
      <c r="C1659" s="9">
        <v>46173</v>
      </c>
      <c r="D1659" s="9">
        <v>46176</v>
      </c>
      <c r="E1659" t="s">
        <v>123</v>
      </c>
      <c r="F1659" t="s">
        <v>627</v>
      </c>
      <c r="G1659">
        <v>6</v>
      </c>
      <c r="H1659">
        <v>41.94</v>
      </c>
      <c r="I1659" t="s">
        <v>956</v>
      </c>
      <c r="K1659" t="b">
        <f>IF(Table1[[#This Row],[dispatch_date]]-Table1[[#This Row],[order_date]] &gt;=0, TRUE, FALSE)</f>
        <v>1</v>
      </c>
    </row>
    <row r="1660" spans="1:11" x14ac:dyDescent="0.2">
      <c r="A1660" t="s">
        <v>1538</v>
      </c>
      <c r="B1660" t="s">
        <v>1040</v>
      </c>
      <c r="C1660" s="9">
        <v>46173</v>
      </c>
      <c r="D1660" s="9"/>
      <c r="E1660" t="s">
        <v>90</v>
      </c>
      <c r="G1660">
        <v>12</v>
      </c>
      <c r="H1660">
        <v>100.8</v>
      </c>
      <c r="I1660" t="s">
        <v>916</v>
      </c>
      <c r="K1660" t="b">
        <f>IF(Table1[[#This Row],[dispatch_date]]-Table1[[#This Row],[order_date]] &gt;=0, TRUE, FALSE)</f>
        <v>0</v>
      </c>
    </row>
    <row r="1661" spans="1:11" x14ac:dyDescent="0.2">
      <c r="A1661" t="s">
        <v>2212</v>
      </c>
      <c r="B1661" t="s">
        <v>1040</v>
      </c>
      <c r="C1661" s="9">
        <v>46173</v>
      </c>
      <c r="D1661" s="9">
        <v>46173</v>
      </c>
      <c r="E1661" t="s">
        <v>105</v>
      </c>
      <c r="F1661" t="s">
        <v>619</v>
      </c>
      <c r="G1661">
        <v>36</v>
      </c>
      <c r="H1661">
        <v>214.2</v>
      </c>
      <c r="I1661" t="s">
        <v>916</v>
      </c>
      <c r="K1661" t="b">
        <f>IF(Table1[[#This Row],[dispatch_date]]-Table1[[#This Row],[order_date]] &gt;=0, TRUE, FALSE)</f>
        <v>1</v>
      </c>
    </row>
    <row r="1662" spans="1:11" x14ac:dyDescent="0.2">
      <c r="A1662" t="s">
        <v>1415</v>
      </c>
      <c r="B1662" t="s">
        <v>1021</v>
      </c>
      <c r="C1662" s="9">
        <v>46174</v>
      </c>
      <c r="D1662" s="9">
        <v>46175</v>
      </c>
      <c r="E1662" t="s">
        <v>63</v>
      </c>
      <c r="F1662" t="s">
        <v>249</v>
      </c>
      <c r="G1662">
        <v>48</v>
      </c>
      <c r="H1662">
        <v>470.4</v>
      </c>
      <c r="I1662" t="s">
        <v>916</v>
      </c>
      <c r="K1662" t="b">
        <f>IF(Table1[[#This Row],[dispatch_date]]-Table1[[#This Row],[order_date]] &gt;=0, TRUE, FALSE)</f>
        <v>1</v>
      </c>
    </row>
    <row r="1663" spans="1:11" x14ac:dyDescent="0.2">
      <c r="A1663" t="s">
        <v>1795</v>
      </c>
      <c r="B1663" t="s">
        <v>998</v>
      </c>
      <c r="C1663" s="9">
        <v>46174</v>
      </c>
      <c r="D1663" s="9">
        <v>46174</v>
      </c>
      <c r="E1663" t="s">
        <v>99</v>
      </c>
      <c r="F1663" t="s">
        <v>703</v>
      </c>
      <c r="G1663">
        <v>6</v>
      </c>
      <c r="H1663">
        <v>44.34</v>
      </c>
      <c r="I1663" t="s">
        <v>927</v>
      </c>
      <c r="K1663" t="b">
        <f>IF(Table1[[#This Row],[dispatch_date]]-Table1[[#This Row],[order_date]] &gt;=0, TRUE, FALSE)</f>
        <v>1</v>
      </c>
    </row>
    <row r="1664" spans="1:11" x14ac:dyDescent="0.2">
      <c r="A1664" t="s">
        <v>2150</v>
      </c>
      <c r="B1664" t="s">
        <v>1024</v>
      </c>
      <c r="C1664" s="9">
        <v>46174</v>
      </c>
      <c r="D1664" s="9"/>
      <c r="E1664" t="s">
        <v>14</v>
      </c>
      <c r="F1664" t="s">
        <v>621</v>
      </c>
      <c r="G1664">
        <v>24</v>
      </c>
      <c r="H1664">
        <v>87.6</v>
      </c>
      <c r="I1664" t="s">
        <v>927</v>
      </c>
      <c r="K1664" t="b">
        <f>IF(Table1[[#This Row],[dispatch_date]]-Table1[[#This Row],[order_date]] &gt;=0, TRUE, FALSE)</f>
        <v>0</v>
      </c>
    </row>
    <row r="1665" spans="1:11" x14ac:dyDescent="0.2">
      <c r="A1665" t="s">
        <v>2577</v>
      </c>
      <c r="B1665" t="s">
        <v>945</v>
      </c>
      <c r="C1665" s="9">
        <v>46174</v>
      </c>
      <c r="D1665" s="9">
        <v>46175</v>
      </c>
      <c r="E1665" t="s">
        <v>125</v>
      </c>
      <c r="F1665" t="s">
        <v>270</v>
      </c>
      <c r="G1665">
        <v>36</v>
      </c>
      <c r="H1665">
        <v>274.68</v>
      </c>
      <c r="I1665" t="s">
        <v>938</v>
      </c>
      <c r="K1665" t="b">
        <f>IF(Table1[[#This Row],[dispatch_date]]-Table1[[#This Row],[order_date]] &gt;=0, TRUE, FALSE)</f>
        <v>1</v>
      </c>
    </row>
    <row r="1666" spans="1:11" x14ac:dyDescent="0.2">
      <c r="A1666" t="s">
        <v>1547</v>
      </c>
      <c r="B1666" t="s">
        <v>968</v>
      </c>
      <c r="C1666" s="9">
        <v>46175</v>
      </c>
      <c r="D1666" s="9">
        <v>46176</v>
      </c>
      <c r="E1666" t="s">
        <v>88</v>
      </c>
      <c r="F1666" t="s">
        <v>883</v>
      </c>
      <c r="G1666">
        <v>48</v>
      </c>
      <c r="H1666">
        <v>188.33</v>
      </c>
      <c r="I1666" t="s">
        <v>938</v>
      </c>
      <c r="J1666" t="s">
        <v>3134</v>
      </c>
      <c r="K1666" t="b">
        <f>IF(Table1[[#This Row],[dispatch_date]]-Table1[[#This Row],[order_date]] &gt;=0, TRUE, FALSE)</f>
        <v>1</v>
      </c>
    </row>
    <row r="1667" spans="1:11" x14ac:dyDescent="0.2">
      <c r="A1667" t="s">
        <v>1625</v>
      </c>
      <c r="B1667" t="s">
        <v>1037</v>
      </c>
      <c r="C1667" s="9">
        <v>46175</v>
      </c>
      <c r="D1667" s="9">
        <v>46176</v>
      </c>
      <c r="E1667" t="s">
        <v>127</v>
      </c>
      <c r="G1667">
        <v>24</v>
      </c>
      <c r="H1667">
        <v>93.48</v>
      </c>
      <c r="I1667" t="s">
        <v>938</v>
      </c>
      <c r="K1667" t="b">
        <f>IF(Table1[[#This Row],[dispatch_date]]-Table1[[#This Row],[order_date]] &gt;=0, TRUE, FALSE)</f>
        <v>1</v>
      </c>
    </row>
    <row r="1668" spans="1:11" x14ac:dyDescent="0.2">
      <c r="A1668" t="s">
        <v>2518</v>
      </c>
      <c r="B1668" t="s">
        <v>939</v>
      </c>
      <c r="C1668" s="9">
        <v>46175</v>
      </c>
      <c r="D1668" s="9">
        <v>46177</v>
      </c>
      <c r="E1668" t="s">
        <v>110</v>
      </c>
      <c r="F1668" t="s">
        <v>380</v>
      </c>
      <c r="G1668">
        <v>48</v>
      </c>
      <c r="H1668">
        <v>149.11000000000001</v>
      </c>
      <c r="I1668" t="s">
        <v>916</v>
      </c>
      <c r="K1668" t="b">
        <f>IF(Table1[[#This Row],[dispatch_date]]-Table1[[#This Row],[order_date]] &gt;=0, TRUE, FALSE)</f>
        <v>1</v>
      </c>
    </row>
    <row r="1669" spans="1:11" x14ac:dyDescent="0.2">
      <c r="A1669" t="s">
        <v>2520</v>
      </c>
      <c r="B1669" t="s">
        <v>981</v>
      </c>
      <c r="C1669" s="9">
        <v>46175</v>
      </c>
      <c r="D1669" s="9">
        <v>46178</v>
      </c>
      <c r="E1669" t="s">
        <v>97</v>
      </c>
      <c r="F1669" t="s">
        <v>279</v>
      </c>
      <c r="G1669">
        <v>24</v>
      </c>
      <c r="H1669">
        <v>129.12</v>
      </c>
      <c r="I1669" t="s">
        <v>916</v>
      </c>
      <c r="K1669" t="b">
        <f>IF(Table1[[#This Row],[dispatch_date]]-Table1[[#This Row],[order_date]] &gt;=0, TRUE, FALSE)</f>
        <v>1</v>
      </c>
    </row>
    <row r="1670" spans="1:11" x14ac:dyDescent="0.2">
      <c r="A1670" t="s">
        <v>2697</v>
      </c>
      <c r="B1670" t="s">
        <v>939</v>
      </c>
      <c r="C1670" s="9">
        <v>46059</v>
      </c>
      <c r="D1670" s="9"/>
      <c r="E1670" t="s">
        <v>67</v>
      </c>
      <c r="F1670" t="s">
        <v>751</v>
      </c>
      <c r="G1670">
        <v>6</v>
      </c>
      <c r="H1670">
        <v>31.8</v>
      </c>
      <c r="I1670" t="s">
        <v>916</v>
      </c>
      <c r="K1670" t="b">
        <f>IF(Table1[[#This Row],[dispatch_date]]-Table1[[#This Row],[order_date]] &gt;=0, TRUE, FALSE)</f>
        <v>0</v>
      </c>
    </row>
    <row r="1671" spans="1:11" x14ac:dyDescent="0.2">
      <c r="A1671" t="s">
        <v>2769</v>
      </c>
      <c r="B1671" t="s">
        <v>1072</v>
      </c>
      <c r="C1671" s="9">
        <v>46175</v>
      </c>
      <c r="D1671" s="9">
        <v>46175</v>
      </c>
      <c r="E1671" t="s">
        <v>78</v>
      </c>
      <c r="F1671" t="s">
        <v>273</v>
      </c>
      <c r="G1671">
        <v>24</v>
      </c>
      <c r="H1671">
        <v>76.8</v>
      </c>
      <c r="I1671" t="s">
        <v>956</v>
      </c>
      <c r="K1671" t="b">
        <f>IF(Table1[[#This Row],[dispatch_date]]-Table1[[#This Row],[order_date]] &gt;=0, TRUE, FALSE)</f>
        <v>1</v>
      </c>
    </row>
    <row r="1672" spans="1:11" x14ac:dyDescent="0.2">
      <c r="A1672" t="s">
        <v>1785</v>
      </c>
      <c r="B1672" t="s">
        <v>1072</v>
      </c>
      <c r="C1672" s="9">
        <v>46176</v>
      </c>
      <c r="D1672" s="9">
        <v>46179</v>
      </c>
      <c r="E1672" t="s">
        <v>86</v>
      </c>
      <c r="F1672" t="s">
        <v>666</v>
      </c>
      <c r="G1672">
        <v>72</v>
      </c>
      <c r="H1672">
        <v>218.2</v>
      </c>
      <c r="I1672" t="s">
        <v>956</v>
      </c>
      <c r="K1672" t="b">
        <f>IF(Table1[[#This Row],[dispatch_date]]-Table1[[#This Row],[order_date]] &gt;=0, TRUE, FALSE)</f>
        <v>1</v>
      </c>
    </row>
    <row r="1673" spans="1:11" x14ac:dyDescent="0.2">
      <c r="A1673" t="s">
        <v>2437</v>
      </c>
      <c r="B1673" t="s">
        <v>1049</v>
      </c>
      <c r="C1673" s="9">
        <v>46176</v>
      </c>
      <c r="D1673" s="9"/>
      <c r="E1673" t="s">
        <v>19</v>
      </c>
      <c r="F1673" t="s">
        <v>646</v>
      </c>
      <c r="G1673">
        <v>36</v>
      </c>
      <c r="H1673">
        <v>69.430000000000007</v>
      </c>
      <c r="I1673" t="s">
        <v>938</v>
      </c>
      <c r="K1673" t="b">
        <f>IF(Table1[[#This Row],[dispatch_date]]-Table1[[#This Row],[order_date]] &gt;=0, TRUE, FALSE)</f>
        <v>0</v>
      </c>
    </row>
    <row r="1674" spans="1:11" x14ac:dyDescent="0.2">
      <c r="A1674" t="s">
        <v>2229</v>
      </c>
      <c r="B1674" t="s">
        <v>1016</v>
      </c>
      <c r="C1674" s="9">
        <v>46177</v>
      </c>
      <c r="D1674" s="9">
        <v>46179</v>
      </c>
      <c r="E1674" t="s">
        <v>90</v>
      </c>
      <c r="G1674">
        <v>36</v>
      </c>
      <c r="H1674">
        <v>302.39999999999998</v>
      </c>
      <c r="I1674" t="s">
        <v>912</v>
      </c>
      <c r="K1674" t="b">
        <f>IF(Table1[[#This Row],[dispatch_date]]-Table1[[#This Row],[order_date]] &gt;=0, TRUE, FALSE)</f>
        <v>1</v>
      </c>
    </row>
    <row r="1675" spans="1:11" x14ac:dyDescent="0.2">
      <c r="A1675" t="s">
        <v>1872</v>
      </c>
      <c r="B1675" t="s">
        <v>901</v>
      </c>
      <c r="C1675" s="9">
        <v>46178</v>
      </c>
      <c r="D1675" s="9">
        <v>46179</v>
      </c>
      <c r="E1675" t="s">
        <v>125</v>
      </c>
      <c r="G1675">
        <v>72</v>
      </c>
      <c r="H1675">
        <v>549.36</v>
      </c>
      <c r="I1675" t="s">
        <v>956</v>
      </c>
      <c r="K1675" t="b">
        <f>IF(Table1[[#This Row],[dispatch_date]]-Table1[[#This Row],[order_date]] &gt;=0, TRUE, FALSE)</f>
        <v>1</v>
      </c>
    </row>
    <row r="1676" spans="1:11" x14ac:dyDescent="0.2">
      <c r="A1676" t="s">
        <v>1773</v>
      </c>
      <c r="B1676" t="s">
        <v>1074</v>
      </c>
      <c r="C1676" s="9">
        <v>46179</v>
      </c>
      <c r="D1676" s="9">
        <v>46180</v>
      </c>
      <c r="E1676" t="s">
        <v>116</v>
      </c>
      <c r="G1676">
        <v>24</v>
      </c>
      <c r="H1676">
        <v>116.16</v>
      </c>
      <c r="I1676" t="s">
        <v>912</v>
      </c>
      <c r="K1676" t="b">
        <f>IF(Table1[[#This Row],[dispatch_date]]-Table1[[#This Row],[order_date]] &gt;=0, TRUE, FALSE)</f>
        <v>1</v>
      </c>
    </row>
    <row r="1677" spans="1:11" x14ac:dyDescent="0.2">
      <c r="A1677" t="s">
        <v>2280</v>
      </c>
      <c r="B1677" t="s">
        <v>918</v>
      </c>
      <c r="C1677" s="9">
        <v>46179</v>
      </c>
      <c r="D1677" s="9">
        <v>46181</v>
      </c>
      <c r="E1677" t="s">
        <v>30</v>
      </c>
      <c r="G1677">
        <v>36</v>
      </c>
      <c r="H1677">
        <v>82.08</v>
      </c>
      <c r="I1677" t="s">
        <v>912</v>
      </c>
      <c r="K1677" t="b">
        <f>IF(Table1[[#This Row],[dispatch_date]]-Table1[[#This Row],[order_date]] &gt;=0, TRUE, FALSE)</f>
        <v>1</v>
      </c>
    </row>
    <row r="1678" spans="1:11" x14ac:dyDescent="0.2">
      <c r="A1678" t="s">
        <v>2506</v>
      </c>
      <c r="B1678" t="s">
        <v>1046</v>
      </c>
      <c r="C1678" s="9">
        <v>46179</v>
      </c>
      <c r="D1678" s="9">
        <v>46181</v>
      </c>
      <c r="E1678" t="s">
        <v>17</v>
      </c>
      <c r="F1678" t="s">
        <v>691</v>
      </c>
      <c r="G1678">
        <v>24</v>
      </c>
      <c r="H1678">
        <v>136.57</v>
      </c>
      <c r="I1678" t="s">
        <v>912</v>
      </c>
      <c r="K1678" t="b">
        <f>IF(Table1[[#This Row],[dispatch_date]]-Table1[[#This Row],[order_date]] &gt;=0, TRUE, FALSE)</f>
        <v>1</v>
      </c>
    </row>
    <row r="1679" spans="1:11" x14ac:dyDescent="0.2">
      <c r="A1679" t="s">
        <v>1103</v>
      </c>
      <c r="B1679" t="s">
        <v>932</v>
      </c>
      <c r="C1679" s="9">
        <v>46180</v>
      </c>
      <c r="D1679" s="9">
        <v>46181</v>
      </c>
      <c r="E1679" t="s">
        <v>82</v>
      </c>
      <c r="F1679" t="s">
        <v>403</v>
      </c>
      <c r="G1679">
        <v>36</v>
      </c>
      <c r="H1679">
        <v>70.92</v>
      </c>
      <c r="I1679" t="s">
        <v>912</v>
      </c>
      <c r="K1679" t="b">
        <f>IF(Table1[[#This Row],[dispatch_date]]-Table1[[#This Row],[order_date]] &gt;=0, TRUE, FALSE)</f>
        <v>1</v>
      </c>
    </row>
    <row r="1680" spans="1:11" x14ac:dyDescent="0.2">
      <c r="A1680" t="s">
        <v>2300</v>
      </c>
      <c r="B1680" t="s">
        <v>1011</v>
      </c>
      <c r="C1680" s="9">
        <v>46180</v>
      </c>
      <c r="D1680" s="9">
        <v>46181</v>
      </c>
      <c r="E1680" t="s">
        <v>44</v>
      </c>
      <c r="F1680" t="s">
        <v>426</v>
      </c>
      <c r="G1680">
        <v>24</v>
      </c>
      <c r="H1680">
        <v>145.19999999999999</v>
      </c>
      <c r="I1680" t="s">
        <v>916</v>
      </c>
      <c r="K1680" t="b">
        <f>IF(Table1[[#This Row],[dispatch_date]]-Table1[[#This Row],[order_date]] &gt;=0, TRUE, FALSE)</f>
        <v>1</v>
      </c>
    </row>
    <row r="1681" spans="1:11" x14ac:dyDescent="0.2">
      <c r="A1681" t="s">
        <v>2476</v>
      </c>
      <c r="B1681" t="s">
        <v>1069</v>
      </c>
      <c r="C1681" s="9">
        <v>46180</v>
      </c>
      <c r="D1681" s="9">
        <v>46180</v>
      </c>
      <c r="E1681" t="s">
        <v>84</v>
      </c>
      <c r="F1681" t="s">
        <v>316</v>
      </c>
      <c r="G1681">
        <v>72</v>
      </c>
      <c r="H1681">
        <v>152.53</v>
      </c>
      <c r="I1681" t="s">
        <v>916</v>
      </c>
      <c r="K1681" t="b">
        <f>IF(Table1[[#This Row],[dispatch_date]]-Table1[[#This Row],[order_date]] &gt;=0, TRUE, FALSE)</f>
        <v>1</v>
      </c>
    </row>
    <row r="1682" spans="1:11" x14ac:dyDescent="0.2">
      <c r="A1682" t="s">
        <v>1617</v>
      </c>
      <c r="B1682" t="s">
        <v>998</v>
      </c>
      <c r="C1682" s="9">
        <v>46181</v>
      </c>
      <c r="D1682" s="9">
        <v>46182</v>
      </c>
      <c r="E1682" t="s">
        <v>103</v>
      </c>
      <c r="F1682" t="s">
        <v>887</v>
      </c>
      <c r="G1682">
        <v>24</v>
      </c>
      <c r="H1682">
        <v>164.39</v>
      </c>
      <c r="I1682" t="s">
        <v>938</v>
      </c>
      <c r="K1682" t="b">
        <f>IF(Table1[[#This Row],[dispatch_date]]-Table1[[#This Row],[order_date]] &gt;=0, TRUE, FALSE)</f>
        <v>1</v>
      </c>
    </row>
    <row r="1683" spans="1:11" x14ac:dyDescent="0.2">
      <c r="A1683" t="s">
        <v>1645</v>
      </c>
      <c r="B1683" t="s">
        <v>1061</v>
      </c>
      <c r="C1683" s="9">
        <v>46181</v>
      </c>
      <c r="D1683" s="9">
        <v>46182</v>
      </c>
      <c r="E1683" t="s">
        <v>28</v>
      </c>
      <c r="G1683">
        <v>12</v>
      </c>
      <c r="H1683">
        <v>68.88</v>
      </c>
      <c r="I1683" t="s">
        <v>912</v>
      </c>
      <c r="K1683" t="b">
        <f>IF(Table1[[#This Row],[dispatch_date]]-Table1[[#This Row],[order_date]] &gt;=0, TRUE, FALSE)</f>
        <v>1</v>
      </c>
    </row>
    <row r="1684" spans="1:11" x14ac:dyDescent="0.2">
      <c r="A1684" t="s">
        <v>1936</v>
      </c>
      <c r="B1684" t="s">
        <v>910</v>
      </c>
      <c r="C1684" s="9">
        <v>46181</v>
      </c>
      <c r="D1684" s="9">
        <v>46184</v>
      </c>
      <c r="E1684" t="s">
        <v>123</v>
      </c>
      <c r="F1684" t="s">
        <v>855</v>
      </c>
      <c r="G1684">
        <v>24</v>
      </c>
      <c r="H1684">
        <v>167.76</v>
      </c>
      <c r="I1684" t="s">
        <v>912</v>
      </c>
      <c r="K1684" t="b">
        <f>IF(Table1[[#This Row],[dispatch_date]]-Table1[[#This Row],[order_date]] &gt;=0, TRUE, FALSE)</f>
        <v>1</v>
      </c>
    </row>
    <row r="1685" spans="1:11" x14ac:dyDescent="0.2">
      <c r="A1685" t="s">
        <v>1944</v>
      </c>
      <c r="B1685" t="s">
        <v>1077</v>
      </c>
      <c r="C1685" s="9">
        <v>46181</v>
      </c>
      <c r="D1685" s="9">
        <v>46184</v>
      </c>
      <c r="E1685" t="s">
        <v>105</v>
      </c>
      <c r="F1685" t="s">
        <v>636</v>
      </c>
      <c r="G1685">
        <v>36</v>
      </c>
      <c r="H1685">
        <v>214.2</v>
      </c>
      <c r="I1685" t="s">
        <v>1079</v>
      </c>
      <c r="K1685" t="b">
        <f>IF(Table1[[#This Row],[dispatch_date]]-Table1[[#This Row],[order_date]] &gt;=0, TRUE, FALSE)</f>
        <v>1</v>
      </c>
    </row>
    <row r="1686" spans="1:11" x14ac:dyDescent="0.2">
      <c r="A1686" t="s">
        <v>2448</v>
      </c>
      <c r="B1686" t="s">
        <v>1024</v>
      </c>
      <c r="C1686" s="9">
        <v>46181</v>
      </c>
      <c r="D1686" s="9">
        <v>46183</v>
      </c>
      <c r="E1686" t="s">
        <v>84</v>
      </c>
      <c r="F1686" t="s">
        <v>555</v>
      </c>
      <c r="G1686">
        <v>48</v>
      </c>
      <c r="H1686">
        <v>107.04</v>
      </c>
      <c r="I1686" t="s">
        <v>938</v>
      </c>
      <c r="K1686" t="b">
        <f>IF(Table1[[#This Row],[dispatch_date]]-Table1[[#This Row],[order_date]] &gt;=0, TRUE, FALSE)</f>
        <v>1</v>
      </c>
    </row>
    <row r="1687" spans="1:11" x14ac:dyDescent="0.2">
      <c r="A1687" t="s">
        <v>2586</v>
      </c>
      <c r="B1687" t="s">
        <v>1024</v>
      </c>
      <c r="C1687" s="9">
        <v>46181</v>
      </c>
      <c r="D1687" s="9">
        <v>46183</v>
      </c>
      <c r="E1687" t="s">
        <v>63</v>
      </c>
      <c r="F1687" t="s">
        <v>446</v>
      </c>
      <c r="G1687">
        <v>36</v>
      </c>
      <c r="H1687">
        <v>335.16</v>
      </c>
      <c r="I1687" t="s">
        <v>912</v>
      </c>
      <c r="K1687" t="b">
        <f>IF(Table1[[#This Row],[dispatch_date]]-Table1[[#This Row],[order_date]] &gt;=0, TRUE, FALSE)</f>
        <v>1</v>
      </c>
    </row>
    <row r="1688" spans="1:11" x14ac:dyDescent="0.2">
      <c r="A1688" t="s">
        <v>1257</v>
      </c>
      <c r="B1688" t="s">
        <v>987</v>
      </c>
      <c r="C1688" s="9">
        <v>46182</v>
      </c>
      <c r="D1688" s="9">
        <v>46184</v>
      </c>
      <c r="E1688" t="s">
        <v>48</v>
      </c>
      <c r="F1688" t="s">
        <v>604</v>
      </c>
      <c r="G1688">
        <v>6</v>
      </c>
      <c r="H1688">
        <v>40.44</v>
      </c>
      <c r="I1688" t="s">
        <v>1079</v>
      </c>
      <c r="K1688" t="b">
        <f>IF(Table1[[#This Row],[dispatch_date]]-Table1[[#This Row],[order_date]] &gt;=0, TRUE, FALSE)</f>
        <v>1</v>
      </c>
    </row>
    <row r="1689" spans="1:11" x14ac:dyDescent="0.2">
      <c r="A1689" t="s">
        <v>1258</v>
      </c>
      <c r="B1689" t="s">
        <v>1069</v>
      </c>
      <c r="C1689" s="9">
        <v>46182</v>
      </c>
      <c r="D1689" s="9">
        <v>46183</v>
      </c>
      <c r="E1689" t="s">
        <v>54</v>
      </c>
      <c r="F1689" t="s">
        <v>529</v>
      </c>
      <c r="G1689">
        <v>36</v>
      </c>
      <c r="H1689">
        <v>159.47999999999999</v>
      </c>
      <c r="I1689" t="s">
        <v>956</v>
      </c>
      <c r="K1689" t="b">
        <f>IF(Table1[[#This Row],[dispatch_date]]-Table1[[#This Row],[order_date]] &gt;=0, TRUE, FALSE)</f>
        <v>1</v>
      </c>
    </row>
    <row r="1690" spans="1:11" x14ac:dyDescent="0.2">
      <c r="A1690" t="s">
        <v>1446</v>
      </c>
      <c r="B1690" t="s">
        <v>1013</v>
      </c>
      <c r="C1690" s="9">
        <v>46182</v>
      </c>
      <c r="D1690" s="9">
        <v>46182</v>
      </c>
      <c r="E1690" t="s">
        <v>25</v>
      </c>
      <c r="F1690" t="s">
        <v>775</v>
      </c>
      <c r="G1690">
        <v>24</v>
      </c>
      <c r="H1690">
        <v>133.19999999999999</v>
      </c>
      <c r="I1690" t="s">
        <v>956</v>
      </c>
      <c r="K1690" t="b">
        <f>IF(Table1[[#This Row],[dispatch_date]]-Table1[[#This Row],[order_date]] &gt;=0, TRUE, FALSE)</f>
        <v>1</v>
      </c>
    </row>
    <row r="1691" spans="1:11" x14ac:dyDescent="0.2">
      <c r="A1691" t="s">
        <v>1945</v>
      </c>
      <c r="B1691" t="s">
        <v>979</v>
      </c>
      <c r="C1691" s="9">
        <v>46182</v>
      </c>
      <c r="D1691" s="9">
        <v>46182</v>
      </c>
      <c r="E1691" t="s">
        <v>93</v>
      </c>
      <c r="F1691" t="s">
        <v>689</v>
      </c>
      <c r="G1691">
        <v>72</v>
      </c>
      <c r="H1691">
        <v>190.84</v>
      </c>
      <c r="I1691" t="s">
        <v>927</v>
      </c>
      <c r="K1691" t="b">
        <f>IF(Table1[[#This Row],[dispatch_date]]-Table1[[#This Row],[order_date]] &gt;=0, TRUE, FALSE)</f>
        <v>1</v>
      </c>
    </row>
    <row r="1692" spans="1:11" x14ac:dyDescent="0.2">
      <c r="A1692" t="s">
        <v>2668</v>
      </c>
      <c r="B1692" t="s">
        <v>918</v>
      </c>
      <c r="C1692" s="9">
        <v>46182</v>
      </c>
      <c r="D1692" s="9">
        <v>46184</v>
      </c>
      <c r="E1692" t="s">
        <v>108</v>
      </c>
      <c r="F1692" t="s">
        <v>564</v>
      </c>
      <c r="G1692">
        <v>12</v>
      </c>
      <c r="H1692">
        <v>81.400000000000006</v>
      </c>
      <c r="I1692" t="s">
        <v>912</v>
      </c>
      <c r="K1692" t="b">
        <f>IF(Table1[[#This Row],[dispatch_date]]-Table1[[#This Row],[order_date]] &gt;=0, TRUE, FALSE)</f>
        <v>1</v>
      </c>
    </row>
    <row r="1693" spans="1:11" x14ac:dyDescent="0.2">
      <c r="A1693" t="s">
        <v>2727</v>
      </c>
      <c r="B1693" t="s">
        <v>993</v>
      </c>
      <c r="C1693" s="9">
        <v>46182</v>
      </c>
      <c r="D1693" s="9">
        <v>46185</v>
      </c>
      <c r="E1693" t="s">
        <v>22</v>
      </c>
      <c r="F1693" t="s">
        <v>532</v>
      </c>
      <c r="G1693">
        <v>12</v>
      </c>
      <c r="H1693">
        <v>59.64</v>
      </c>
      <c r="I1693" t="s">
        <v>938</v>
      </c>
      <c r="K1693" t="b">
        <f>IF(Table1[[#This Row],[dispatch_date]]-Table1[[#This Row],[order_date]] &gt;=0, TRUE, FALSE)</f>
        <v>1</v>
      </c>
    </row>
    <row r="1694" spans="1:11" x14ac:dyDescent="0.2">
      <c r="A1694" t="s">
        <v>2801</v>
      </c>
      <c r="B1694" t="s">
        <v>1040</v>
      </c>
      <c r="C1694" s="9">
        <v>46182</v>
      </c>
      <c r="D1694" s="9">
        <v>46182</v>
      </c>
      <c r="E1694" t="s">
        <v>33</v>
      </c>
      <c r="F1694" t="s">
        <v>461</v>
      </c>
      <c r="G1694">
        <v>72</v>
      </c>
      <c r="H1694">
        <v>151.16</v>
      </c>
      <c r="I1694" t="s">
        <v>916</v>
      </c>
      <c r="K1694" t="b">
        <f>IF(Table1[[#This Row],[dispatch_date]]-Table1[[#This Row],[order_date]] &gt;=0, TRUE, FALSE)</f>
        <v>1</v>
      </c>
    </row>
    <row r="1695" spans="1:11" x14ac:dyDescent="0.2">
      <c r="A1695" t="s">
        <v>1508</v>
      </c>
      <c r="B1695" t="s">
        <v>996</v>
      </c>
      <c r="C1695" s="9">
        <v>46183</v>
      </c>
      <c r="D1695" s="9">
        <v>46184</v>
      </c>
      <c r="E1695" t="s">
        <v>54</v>
      </c>
      <c r="F1695" t="s">
        <v>241</v>
      </c>
      <c r="G1695">
        <v>12</v>
      </c>
      <c r="H1695">
        <v>53.16</v>
      </c>
      <c r="I1695" t="s">
        <v>956</v>
      </c>
      <c r="K1695" t="b">
        <f>IF(Table1[[#This Row],[dispatch_date]]-Table1[[#This Row],[order_date]] &gt;=0, TRUE, FALSE)</f>
        <v>1</v>
      </c>
    </row>
    <row r="1696" spans="1:11" x14ac:dyDescent="0.2">
      <c r="A1696" t="s">
        <v>2131</v>
      </c>
      <c r="B1696" t="s">
        <v>942</v>
      </c>
      <c r="C1696" s="9">
        <v>46183</v>
      </c>
      <c r="D1696" s="9">
        <v>46184</v>
      </c>
      <c r="E1696" t="s">
        <v>108</v>
      </c>
      <c r="F1696" t="s">
        <v>564</v>
      </c>
      <c r="G1696">
        <v>6</v>
      </c>
      <c r="H1696">
        <v>42.84</v>
      </c>
      <c r="I1696" t="s">
        <v>916</v>
      </c>
      <c r="K1696" t="b">
        <f>IF(Table1[[#This Row],[dispatch_date]]-Table1[[#This Row],[order_date]] &gt;=0, TRUE, FALSE)</f>
        <v>1</v>
      </c>
    </row>
    <row r="1697" spans="1:11" x14ac:dyDescent="0.2">
      <c r="A1697" t="s">
        <v>2264</v>
      </c>
      <c r="B1697" t="s">
        <v>929</v>
      </c>
      <c r="C1697" s="9">
        <v>46183</v>
      </c>
      <c r="D1697" s="9">
        <v>46185</v>
      </c>
      <c r="E1697" t="s">
        <v>14</v>
      </c>
      <c r="G1697">
        <v>6</v>
      </c>
      <c r="H1697">
        <v>20.8</v>
      </c>
      <c r="I1697" t="s">
        <v>912</v>
      </c>
      <c r="K1697" t="b">
        <f>IF(Table1[[#This Row],[dispatch_date]]-Table1[[#This Row],[order_date]] &gt;=0, TRUE, FALSE)</f>
        <v>1</v>
      </c>
    </row>
    <row r="1698" spans="1:11" x14ac:dyDescent="0.2">
      <c r="A1698" t="s">
        <v>2286</v>
      </c>
      <c r="B1698" t="s">
        <v>958</v>
      </c>
      <c r="C1698" s="9">
        <v>46183</v>
      </c>
      <c r="D1698" s="9">
        <v>46184</v>
      </c>
      <c r="E1698" t="s">
        <v>50</v>
      </c>
      <c r="F1698" t="s">
        <v>558</v>
      </c>
      <c r="G1698">
        <v>24</v>
      </c>
      <c r="H1698">
        <v>139.08000000000001</v>
      </c>
      <c r="I1698" t="s">
        <v>916</v>
      </c>
      <c r="K1698" t="b">
        <f>IF(Table1[[#This Row],[dispatch_date]]-Table1[[#This Row],[order_date]] &gt;=0, TRUE, FALSE)</f>
        <v>1</v>
      </c>
    </row>
    <row r="1699" spans="1:11" x14ac:dyDescent="0.2">
      <c r="A1699" t="s">
        <v>2736</v>
      </c>
      <c r="B1699" t="s">
        <v>1011</v>
      </c>
      <c r="C1699" s="9">
        <v>46183</v>
      </c>
      <c r="D1699" s="9"/>
      <c r="E1699" t="s">
        <v>28</v>
      </c>
      <c r="F1699" t="s">
        <v>561</v>
      </c>
      <c r="G1699">
        <v>12</v>
      </c>
      <c r="H1699">
        <v>65.44</v>
      </c>
      <c r="I1699" t="s">
        <v>916</v>
      </c>
      <c r="K1699" t="b">
        <f>IF(Table1[[#This Row],[dispatch_date]]-Table1[[#This Row],[order_date]] &gt;=0, TRUE, FALSE)</f>
        <v>0</v>
      </c>
    </row>
    <row r="1700" spans="1:11" x14ac:dyDescent="0.2">
      <c r="A1700" t="s">
        <v>2885</v>
      </c>
      <c r="B1700" t="s">
        <v>1048</v>
      </c>
      <c r="C1700" s="9">
        <v>46183</v>
      </c>
      <c r="D1700" s="9">
        <v>46184</v>
      </c>
      <c r="E1700" t="s">
        <v>8</v>
      </c>
      <c r="G1700">
        <v>12</v>
      </c>
      <c r="H1700">
        <v>72.36</v>
      </c>
      <c r="I1700" t="s">
        <v>912</v>
      </c>
      <c r="K1700" t="b">
        <f>IF(Table1[[#This Row],[dispatch_date]]-Table1[[#This Row],[order_date]] &gt;=0, TRUE, FALSE)</f>
        <v>1</v>
      </c>
    </row>
    <row r="1701" spans="1:11" x14ac:dyDescent="0.2">
      <c r="A1701" t="s">
        <v>2886</v>
      </c>
      <c r="B1701" t="s">
        <v>901</v>
      </c>
      <c r="C1701" s="9">
        <v>46183</v>
      </c>
      <c r="D1701" s="9">
        <v>46184</v>
      </c>
      <c r="E1701" t="s">
        <v>8</v>
      </c>
      <c r="G1701">
        <v>24</v>
      </c>
      <c r="H1701">
        <v>144.72</v>
      </c>
      <c r="I1701" t="s">
        <v>956</v>
      </c>
      <c r="K1701" t="b">
        <f>IF(Table1[[#This Row],[dispatch_date]]-Table1[[#This Row],[order_date]] &gt;=0, TRUE, FALSE)</f>
        <v>1</v>
      </c>
    </row>
    <row r="1702" spans="1:11" x14ac:dyDescent="0.2">
      <c r="A1702" t="s">
        <v>2533</v>
      </c>
      <c r="B1702" t="s">
        <v>1052</v>
      </c>
      <c r="C1702" s="9">
        <v>46184</v>
      </c>
      <c r="D1702" s="9">
        <v>46187</v>
      </c>
      <c r="E1702" t="s">
        <v>50</v>
      </c>
      <c r="F1702" t="s">
        <v>558</v>
      </c>
      <c r="G1702">
        <v>24</v>
      </c>
      <c r="H1702">
        <v>146.4</v>
      </c>
      <c r="I1702" t="s">
        <v>956</v>
      </c>
      <c r="K1702" t="b">
        <f>IF(Table1[[#This Row],[dispatch_date]]-Table1[[#This Row],[order_date]] &gt;=0, TRUE, FALSE)</f>
        <v>1</v>
      </c>
    </row>
    <row r="1703" spans="1:11" x14ac:dyDescent="0.2">
      <c r="A1703" t="s">
        <v>2659</v>
      </c>
      <c r="B1703" t="s">
        <v>1072</v>
      </c>
      <c r="C1703" s="9">
        <v>46184</v>
      </c>
      <c r="D1703" s="9">
        <v>46187</v>
      </c>
      <c r="E1703" t="s">
        <v>28</v>
      </c>
      <c r="F1703" t="s">
        <v>788</v>
      </c>
      <c r="G1703">
        <v>24</v>
      </c>
      <c r="H1703">
        <v>137.76</v>
      </c>
      <c r="I1703" t="s">
        <v>956</v>
      </c>
      <c r="K1703" t="b">
        <f>IF(Table1[[#This Row],[dispatch_date]]-Table1[[#This Row],[order_date]] &gt;=0, TRUE, FALSE)</f>
        <v>1</v>
      </c>
    </row>
    <row r="1704" spans="1:11" x14ac:dyDescent="0.2">
      <c r="A1704" t="s">
        <v>2761</v>
      </c>
      <c r="B1704" t="s">
        <v>996</v>
      </c>
      <c r="C1704" s="9">
        <v>46184</v>
      </c>
      <c r="D1704" s="9">
        <v>46186</v>
      </c>
      <c r="E1704" t="s">
        <v>88</v>
      </c>
      <c r="F1704" t="s">
        <v>864</v>
      </c>
      <c r="G1704">
        <v>36</v>
      </c>
      <c r="H1704">
        <v>148.68</v>
      </c>
      <c r="I1704" t="s">
        <v>956</v>
      </c>
      <c r="K1704" t="b">
        <f>IF(Table1[[#This Row],[dispatch_date]]-Table1[[#This Row],[order_date]] &gt;=0, TRUE, FALSE)</f>
        <v>1</v>
      </c>
    </row>
    <row r="1705" spans="1:11" x14ac:dyDescent="0.2">
      <c r="A1705" t="s">
        <v>2804</v>
      </c>
      <c r="B1705" t="s">
        <v>1045</v>
      </c>
      <c r="C1705" s="9">
        <v>46184</v>
      </c>
      <c r="D1705" s="9">
        <v>46184</v>
      </c>
      <c r="E1705" t="s">
        <v>88</v>
      </c>
      <c r="F1705" t="s">
        <v>864</v>
      </c>
      <c r="G1705">
        <v>36</v>
      </c>
      <c r="H1705">
        <v>148.68</v>
      </c>
      <c r="I1705" t="s">
        <v>912</v>
      </c>
      <c r="K1705" t="b">
        <f>IF(Table1[[#This Row],[dispatch_date]]-Table1[[#This Row],[order_date]] &gt;=0, TRUE, FALSE)</f>
        <v>1</v>
      </c>
    </row>
    <row r="1706" spans="1:11" x14ac:dyDescent="0.2">
      <c r="A1706" t="s">
        <v>1987</v>
      </c>
      <c r="B1706" t="s">
        <v>954</v>
      </c>
      <c r="C1706" s="9">
        <v>46185</v>
      </c>
      <c r="D1706" s="9">
        <v>46185</v>
      </c>
      <c r="E1706" t="s">
        <v>67</v>
      </c>
      <c r="F1706" t="s">
        <v>398</v>
      </c>
      <c r="G1706">
        <v>72</v>
      </c>
      <c r="H1706">
        <v>381.6</v>
      </c>
      <c r="I1706" t="s">
        <v>956</v>
      </c>
      <c r="K1706" t="b">
        <f>IF(Table1[[#This Row],[dispatch_date]]-Table1[[#This Row],[order_date]] &gt;=0, TRUE, FALSE)</f>
        <v>1</v>
      </c>
    </row>
    <row r="1707" spans="1:11" x14ac:dyDescent="0.2">
      <c r="A1707" t="s">
        <v>2250</v>
      </c>
      <c r="B1707" t="s">
        <v>1076</v>
      </c>
      <c r="C1707" s="9">
        <v>46185</v>
      </c>
      <c r="D1707" s="9">
        <v>46186</v>
      </c>
      <c r="E1707" t="s">
        <v>116</v>
      </c>
      <c r="F1707" t="s">
        <v>503</v>
      </c>
      <c r="G1707">
        <v>24</v>
      </c>
      <c r="H1707">
        <v>116.16</v>
      </c>
      <c r="I1707" t="s">
        <v>927</v>
      </c>
      <c r="K1707" t="b">
        <f>IF(Table1[[#This Row],[dispatch_date]]-Table1[[#This Row],[order_date]] &gt;=0, TRUE, FALSE)</f>
        <v>1</v>
      </c>
    </row>
    <row r="1708" spans="1:11" x14ac:dyDescent="0.2">
      <c r="A1708" t="s">
        <v>2873</v>
      </c>
      <c r="B1708" t="s">
        <v>1024</v>
      </c>
      <c r="C1708" s="9">
        <v>46185</v>
      </c>
      <c r="D1708" s="9">
        <v>46186</v>
      </c>
      <c r="E1708" t="s">
        <v>8</v>
      </c>
      <c r="F1708" t="s">
        <v>656</v>
      </c>
      <c r="G1708">
        <v>24</v>
      </c>
      <c r="H1708">
        <v>144.72</v>
      </c>
      <c r="I1708" t="s">
        <v>938</v>
      </c>
      <c r="K1708" t="b">
        <f>IF(Table1[[#This Row],[dispatch_date]]-Table1[[#This Row],[order_date]] &gt;=0, TRUE, FALSE)</f>
        <v>1</v>
      </c>
    </row>
    <row r="1709" spans="1:11" x14ac:dyDescent="0.2">
      <c r="A1709" t="s">
        <v>1975</v>
      </c>
      <c r="B1709" t="s">
        <v>1059</v>
      </c>
      <c r="C1709" s="9">
        <v>46186</v>
      </c>
      <c r="D1709" s="9">
        <v>46186</v>
      </c>
      <c r="E1709" t="s">
        <v>103</v>
      </c>
      <c r="G1709">
        <v>12</v>
      </c>
      <c r="H1709">
        <v>86.52</v>
      </c>
      <c r="I1709" t="s">
        <v>916</v>
      </c>
      <c r="K1709" t="b">
        <f>IF(Table1[[#This Row],[dispatch_date]]-Table1[[#This Row],[order_date]] &gt;=0, TRUE, FALSE)</f>
        <v>1</v>
      </c>
    </row>
    <row r="1710" spans="1:11" x14ac:dyDescent="0.2">
      <c r="A1710" t="s">
        <v>1820</v>
      </c>
      <c r="B1710" t="s">
        <v>1009</v>
      </c>
      <c r="C1710" s="9">
        <v>46187</v>
      </c>
      <c r="D1710" s="9">
        <v>46190</v>
      </c>
      <c r="E1710" t="s">
        <v>90</v>
      </c>
      <c r="F1710" t="s">
        <v>716</v>
      </c>
      <c r="G1710">
        <v>6</v>
      </c>
      <c r="H1710">
        <v>47.88</v>
      </c>
      <c r="I1710" t="s">
        <v>912</v>
      </c>
      <c r="K1710" t="b">
        <f>IF(Table1[[#This Row],[dispatch_date]]-Table1[[#This Row],[order_date]] &gt;=0, TRUE, FALSE)</f>
        <v>1</v>
      </c>
    </row>
    <row r="1711" spans="1:11" x14ac:dyDescent="0.2">
      <c r="A1711" t="s">
        <v>2887</v>
      </c>
      <c r="B1711" t="s">
        <v>939</v>
      </c>
      <c r="C1711" s="9">
        <v>46187</v>
      </c>
      <c r="D1711" s="9">
        <v>46188</v>
      </c>
      <c r="E1711" t="s">
        <v>8</v>
      </c>
      <c r="G1711">
        <v>12</v>
      </c>
      <c r="H1711">
        <v>72.36</v>
      </c>
      <c r="I1711" t="s">
        <v>916</v>
      </c>
      <c r="K1711" t="b">
        <f>IF(Table1[[#This Row],[dispatch_date]]-Table1[[#This Row],[order_date]] &gt;=0, TRUE, FALSE)</f>
        <v>1</v>
      </c>
    </row>
    <row r="1712" spans="1:11" x14ac:dyDescent="0.2">
      <c r="A1712" t="s">
        <v>1287</v>
      </c>
      <c r="B1712" t="s">
        <v>906</v>
      </c>
      <c r="C1712" s="9">
        <v>46188</v>
      </c>
      <c r="D1712" s="9">
        <v>46190</v>
      </c>
      <c r="E1712" t="s">
        <v>123</v>
      </c>
      <c r="F1712" t="s">
        <v>855</v>
      </c>
      <c r="G1712">
        <v>24</v>
      </c>
      <c r="H1712">
        <v>167.76</v>
      </c>
      <c r="I1712" t="s">
        <v>938</v>
      </c>
      <c r="K1712" t="b">
        <f>IF(Table1[[#This Row],[dispatch_date]]-Table1[[#This Row],[order_date]] &gt;=0, TRUE, FALSE)</f>
        <v>1</v>
      </c>
    </row>
    <row r="1713" spans="1:11" x14ac:dyDescent="0.2">
      <c r="A1713" t="s">
        <v>1545</v>
      </c>
      <c r="B1713" t="s">
        <v>1064</v>
      </c>
      <c r="C1713" s="9">
        <v>46188</v>
      </c>
      <c r="D1713" s="9">
        <v>46190</v>
      </c>
      <c r="E1713" t="s">
        <v>125</v>
      </c>
      <c r="F1713" t="s">
        <v>519</v>
      </c>
      <c r="G1713">
        <v>48</v>
      </c>
      <c r="H1713">
        <v>366.24</v>
      </c>
      <c r="I1713" t="s">
        <v>1079</v>
      </c>
      <c r="K1713" t="b">
        <f>IF(Table1[[#This Row],[dispatch_date]]-Table1[[#This Row],[order_date]] &gt;=0, TRUE, FALSE)</f>
        <v>1</v>
      </c>
    </row>
    <row r="1714" spans="1:11" x14ac:dyDescent="0.2">
      <c r="A1714" t="s">
        <v>2788</v>
      </c>
      <c r="B1714" t="s">
        <v>939</v>
      </c>
      <c r="C1714" s="9">
        <v>46188</v>
      </c>
      <c r="D1714" s="9">
        <v>46190</v>
      </c>
      <c r="E1714" t="s">
        <v>114</v>
      </c>
      <c r="F1714" t="s">
        <v>654</v>
      </c>
      <c r="G1714">
        <v>48</v>
      </c>
      <c r="H1714">
        <v>237.6</v>
      </c>
      <c r="I1714" t="s">
        <v>927</v>
      </c>
      <c r="K1714" t="b">
        <f>IF(Table1[[#This Row],[dispatch_date]]-Table1[[#This Row],[order_date]] &gt;=0, TRUE, FALSE)</f>
        <v>1</v>
      </c>
    </row>
    <row r="1715" spans="1:11" x14ac:dyDescent="0.2">
      <c r="A1715" t="s">
        <v>2880</v>
      </c>
      <c r="B1715" t="s">
        <v>965</v>
      </c>
      <c r="C1715" s="9">
        <v>46188</v>
      </c>
      <c r="D1715" s="9">
        <v>46189</v>
      </c>
      <c r="E1715" t="s">
        <v>8</v>
      </c>
      <c r="F1715" t="s">
        <v>656</v>
      </c>
      <c r="G1715">
        <v>12</v>
      </c>
      <c r="H1715">
        <v>72.36</v>
      </c>
      <c r="I1715" t="s">
        <v>956</v>
      </c>
      <c r="K1715" t="b">
        <f>IF(Table1[[#This Row],[dispatch_date]]-Table1[[#This Row],[order_date]] &gt;=0, TRUE, FALSE)</f>
        <v>1</v>
      </c>
    </row>
    <row r="1716" spans="1:11" x14ac:dyDescent="0.2">
      <c r="A1716" t="s">
        <v>2884</v>
      </c>
      <c r="B1716" t="s">
        <v>1045</v>
      </c>
      <c r="C1716" s="9">
        <v>46188</v>
      </c>
      <c r="D1716" s="9">
        <v>46189</v>
      </c>
      <c r="E1716" t="s">
        <v>8</v>
      </c>
      <c r="G1716">
        <v>12</v>
      </c>
      <c r="H1716">
        <v>72.36</v>
      </c>
      <c r="I1716" t="s">
        <v>912</v>
      </c>
      <c r="K1716" t="b">
        <f>IF(Table1[[#This Row],[dispatch_date]]-Table1[[#This Row],[order_date]] &gt;=0, TRUE, FALSE)</f>
        <v>1</v>
      </c>
    </row>
    <row r="1717" spans="1:11" x14ac:dyDescent="0.2">
      <c r="A1717" t="s">
        <v>1316</v>
      </c>
      <c r="B1717" t="s">
        <v>906</v>
      </c>
      <c r="C1717" s="9">
        <v>46189</v>
      </c>
      <c r="D1717" s="9">
        <v>46191</v>
      </c>
      <c r="E1717" t="s">
        <v>8</v>
      </c>
      <c r="F1717" t="s">
        <v>656</v>
      </c>
      <c r="G1717">
        <v>24</v>
      </c>
      <c r="H1717">
        <v>144.72</v>
      </c>
      <c r="I1717" t="s">
        <v>938</v>
      </c>
      <c r="K1717" t="b">
        <f>IF(Table1[[#This Row],[dispatch_date]]-Table1[[#This Row],[order_date]] &gt;=0, TRUE, FALSE)</f>
        <v>1</v>
      </c>
    </row>
    <row r="1718" spans="1:11" x14ac:dyDescent="0.2">
      <c r="A1718" t="s">
        <v>2090</v>
      </c>
      <c r="B1718" t="s">
        <v>1061</v>
      </c>
      <c r="C1718" s="9">
        <v>46189</v>
      </c>
      <c r="D1718" s="9">
        <v>46191</v>
      </c>
      <c r="E1718" t="s">
        <v>50</v>
      </c>
      <c r="F1718" t="s">
        <v>379</v>
      </c>
      <c r="G1718">
        <v>48</v>
      </c>
      <c r="H1718">
        <v>292.8</v>
      </c>
      <c r="I1718" t="s">
        <v>912</v>
      </c>
      <c r="K1718" t="b">
        <f>IF(Table1[[#This Row],[dispatch_date]]-Table1[[#This Row],[order_date]] &gt;=0, TRUE, FALSE)</f>
        <v>1</v>
      </c>
    </row>
    <row r="1719" spans="1:11" x14ac:dyDescent="0.2">
      <c r="A1719" t="s">
        <v>2279</v>
      </c>
      <c r="B1719" t="s">
        <v>906</v>
      </c>
      <c r="C1719" s="9">
        <v>46189</v>
      </c>
      <c r="D1719" s="9">
        <v>46191</v>
      </c>
      <c r="E1719" t="s">
        <v>19</v>
      </c>
      <c r="G1719">
        <v>24</v>
      </c>
      <c r="H1719">
        <v>48.72</v>
      </c>
      <c r="I1719" t="s">
        <v>938</v>
      </c>
      <c r="K1719" t="b">
        <f>IF(Table1[[#This Row],[dispatch_date]]-Table1[[#This Row],[order_date]] &gt;=0, TRUE, FALSE)</f>
        <v>1</v>
      </c>
    </row>
    <row r="1720" spans="1:11" x14ac:dyDescent="0.2">
      <c r="A1720" t="s">
        <v>2293</v>
      </c>
      <c r="B1720" t="s">
        <v>1024</v>
      </c>
      <c r="C1720" s="9">
        <v>46189</v>
      </c>
      <c r="D1720" s="9">
        <v>46189</v>
      </c>
      <c r="E1720" t="s">
        <v>93</v>
      </c>
      <c r="F1720" t="s">
        <v>689</v>
      </c>
      <c r="G1720">
        <v>24</v>
      </c>
      <c r="H1720">
        <v>66.959999999999994</v>
      </c>
      <c r="I1720" t="s">
        <v>938</v>
      </c>
      <c r="K1720" t="b">
        <f>IF(Table1[[#This Row],[dispatch_date]]-Table1[[#This Row],[order_date]] &gt;=0, TRUE, FALSE)</f>
        <v>1</v>
      </c>
    </row>
    <row r="1721" spans="1:11" x14ac:dyDescent="0.2">
      <c r="A1721" t="s">
        <v>2872</v>
      </c>
      <c r="B1721" t="s">
        <v>965</v>
      </c>
      <c r="C1721" s="9">
        <v>46189</v>
      </c>
      <c r="D1721" s="9">
        <v>46190</v>
      </c>
      <c r="E1721" t="s">
        <v>8</v>
      </c>
      <c r="F1721" t="s">
        <v>656</v>
      </c>
      <c r="G1721">
        <v>24</v>
      </c>
      <c r="H1721">
        <v>144.72</v>
      </c>
      <c r="I1721" t="s">
        <v>956</v>
      </c>
      <c r="K1721" t="b">
        <f>IF(Table1[[#This Row],[dispatch_date]]-Table1[[#This Row],[order_date]] &gt;=0, TRUE, FALSE)</f>
        <v>1</v>
      </c>
    </row>
    <row r="1722" spans="1:11" x14ac:dyDescent="0.2">
      <c r="A1722" t="s">
        <v>2883</v>
      </c>
      <c r="B1722" t="s">
        <v>1080</v>
      </c>
      <c r="C1722" s="9">
        <v>46189</v>
      </c>
      <c r="D1722" s="9">
        <v>46190</v>
      </c>
      <c r="E1722" t="s">
        <v>8</v>
      </c>
      <c r="F1722" t="s">
        <v>656</v>
      </c>
      <c r="G1722">
        <v>12</v>
      </c>
      <c r="H1722">
        <v>72.36</v>
      </c>
      <c r="I1722" t="s">
        <v>916</v>
      </c>
      <c r="K1722" t="b">
        <f>IF(Table1[[#This Row],[dispatch_date]]-Table1[[#This Row],[order_date]] &gt;=0, TRUE, FALSE)</f>
        <v>1</v>
      </c>
    </row>
    <row r="1723" spans="1:11" x14ac:dyDescent="0.2">
      <c r="A1723" t="s">
        <v>1408</v>
      </c>
      <c r="B1723" t="s">
        <v>965</v>
      </c>
      <c r="C1723" s="9">
        <v>46190</v>
      </c>
      <c r="D1723" s="9"/>
      <c r="E1723" t="s">
        <v>127</v>
      </c>
      <c r="F1723" t="s">
        <v>483</v>
      </c>
      <c r="G1723">
        <v>24</v>
      </c>
      <c r="H1723">
        <v>98.4</v>
      </c>
      <c r="I1723" t="s">
        <v>956</v>
      </c>
      <c r="K1723" t="b">
        <f>IF(Table1[[#This Row],[dispatch_date]]-Table1[[#This Row],[order_date]] &gt;=0, TRUE, FALSE)</f>
        <v>0</v>
      </c>
    </row>
    <row r="1724" spans="1:11" x14ac:dyDescent="0.2">
      <c r="A1724" t="s">
        <v>2875</v>
      </c>
      <c r="B1724" t="s">
        <v>1034</v>
      </c>
      <c r="C1724" s="9">
        <v>46190</v>
      </c>
      <c r="D1724" s="9">
        <v>46191</v>
      </c>
      <c r="E1724" t="s">
        <v>8</v>
      </c>
      <c r="F1724" t="s">
        <v>656</v>
      </c>
      <c r="G1724">
        <v>12</v>
      </c>
      <c r="H1724">
        <v>72.36</v>
      </c>
      <c r="I1724" t="s">
        <v>938</v>
      </c>
      <c r="K1724" t="b">
        <f>IF(Table1[[#This Row],[dispatch_date]]-Table1[[#This Row],[order_date]] &gt;=0, TRUE, FALSE)</f>
        <v>1</v>
      </c>
    </row>
    <row r="1725" spans="1:11" x14ac:dyDescent="0.2">
      <c r="A1725" t="s">
        <v>1173</v>
      </c>
      <c r="B1725" t="s">
        <v>1067</v>
      </c>
      <c r="C1725" s="9">
        <v>46191</v>
      </c>
      <c r="D1725" s="9">
        <v>46193</v>
      </c>
      <c r="E1725" t="s">
        <v>65</v>
      </c>
      <c r="F1725" t="s">
        <v>508</v>
      </c>
      <c r="G1725">
        <v>12</v>
      </c>
      <c r="H1725">
        <v>151.28</v>
      </c>
      <c r="I1725" t="s">
        <v>956</v>
      </c>
      <c r="K1725" t="b">
        <f>IF(Table1[[#This Row],[dispatch_date]]-Table1[[#This Row],[order_date]] &gt;=0, TRUE, FALSE)</f>
        <v>1</v>
      </c>
    </row>
    <row r="1726" spans="1:11" x14ac:dyDescent="0.2">
      <c r="A1726" t="s">
        <v>1455</v>
      </c>
      <c r="B1726" t="s">
        <v>1040</v>
      </c>
      <c r="C1726" s="9">
        <v>46191</v>
      </c>
      <c r="D1726" s="9">
        <v>46194</v>
      </c>
      <c r="E1726" t="s">
        <v>36</v>
      </c>
      <c r="F1726" t="s">
        <v>220</v>
      </c>
      <c r="G1726">
        <v>36</v>
      </c>
      <c r="H1726">
        <v>61.56</v>
      </c>
      <c r="I1726" t="s">
        <v>916</v>
      </c>
      <c r="K1726" t="b">
        <f>IF(Table1[[#This Row],[dispatch_date]]-Table1[[#This Row],[order_date]] &gt;=0, TRUE, FALSE)</f>
        <v>1</v>
      </c>
    </row>
    <row r="1727" spans="1:11" x14ac:dyDescent="0.2">
      <c r="A1727" t="s">
        <v>1597</v>
      </c>
      <c r="B1727" t="s">
        <v>1013</v>
      </c>
      <c r="C1727" s="9">
        <v>46191</v>
      </c>
      <c r="D1727" s="9">
        <v>46194</v>
      </c>
      <c r="E1727" t="s">
        <v>28</v>
      </c>
      <c r="F1727" t="s">
        <v>514</v>
      </c>
      <c r="G1727">
        <v>12</v>
      </c>
      <c r="H1727">
        <v>68.88</v>
      </c>
      <c r="I1727" t="s">
        <v>956</v>
      </c>
      <c r="K1727" t="b">
        <f>IF(Table1[[#This Row],[dispatch_date]]-Table1[[#This Row],[order_date]] &gt;=0, TRUE, FALSE)</f>
        <v>1</v>
      </c>
    </row>
    <row r="1728" spans="1:11" x14ac:dyDescent="0.2">
      <c r="A1728" t="s">
        <v>2690</v>
      </c>
      <c r="B1728" t="s">
        <v>1011</v>
      </c>
      <c r="C1728" s="9">
        <v>46191</v>
      </c>
      <c r="D1728" s="9">
        <v>46193</v>
      </c>
      <c r="E1728" t="s">
        <v>17</v>
      </c>
      <c r="F1728" t="s">
        <v>699</v>
      </c>
      <c r="G1728">
        <v>72</v>
      </c>
      <c r="H1728">
        <v>431.28</v>
      </c>
      <c r="I1728" t="s">
        <v>916</v>
      </c>
      <c r="K1728" t="b">
        <f>IF(Table1[[#This Row],[dispatch_date]]-Table1[[#This Row],[order_date]] &gt;=0, TRUE, FALSE)</f>
        <v>1</v>
      </c>
    </row>
    <row r="1729" spans="1:11" x14ac:dyDescent="0.2">
      <c r="A1729" t="s">
        <v>2768</v>
      </c>
      <c r="B1729" t="s">
        <v>1013</v>
      </c>
      <c r="C1729" s="9">
        <v>46191</v>
      </c>
      <c r="D1729" s="9">
        <v>46192</v>
      </c>
      <c r="E1729" t="s">
        <v>114</v>
      </c>
      <c r="F1729" t="s">
        <v>706</v>
      </c>
      <c r="G1729">
        <v>48</v>
      </c>
      <c r="H1729">
        <v>237.6</v>
      </c>
      <c r="I1729" t="s">
        <v>916</v>
      </c>
      <c r="K1729" t="b">
        <f>IF(Table1[[#This Row],[dispatch_date]]-Table1[[#This Row],[order_date]] &gt;=0, TRUE, FALSE)</f>
        <v>1</v>
      </c>
    </row>
    <row r="1730" spans="1:11" x14ac:dyDescent="0.2">
      <c r="A1730" t="s">
        <v>2870</v>
      </c>
      <c r="B1730" t="s">
        <v>1004</v>
      </c>
      <c r="C1730" s="9">
        <v>46191</v>
      </c>
      <c r="D1730" s="9">
        <v>46192</v>
      </c>
      <c r="E1730" t="s">
        <v>8</v>
      </c>
      <c r="F1730" t="s">
        <v>656</v>
      </c>
      <c r="G1730">
        <v>36</v>
      </c>
      <c r="H1730">
        <v>217.08</v>
      </c>
      <c r="I1730" t="s">
        <v>927</v>
      </c>
      <c r="K1730" t="b">
        <f>IF(Table1[[#This Row],[dispatch_date]]-Table1[[#This Row],[order_date]] &gt;=0, TRUE, FALSE)</f>
        <v>1</v>
      </c>
    </row>
    <row r="1731" spans="1:11" x14ac:dyDescent="0.2">
      <c r="A1731" t="s">
        <v>2874</v>
      </c>
      <c r="B1731" t="s">
        <v>1046</v>
      </c>
      <c r="C1731" s="9">
        <v>46191</v>
      </c>
      <c r="D1731" s="9">
        <v>46192</v>
      </c>
      <c r="E1731" t="s">
        <v>8</v>
      </c>
      <c r="F1731" t="s">
        <v>656</v>
      </c>
      <c r="G1731">
        <v>24</v>
      </c>
      <c r="H1731">
        <v>144.72</v>
      </c>
      <c r="I1731" t="s">
        <v>912</v>
      </c>
      <c r="K1731" t="b">
        <f>IF(Table1[[#This Row],[dispatch_date]]-Table1[[#This Row],[order_date]] &gt;=0, TRUE, FALSE)</f>
        <v>1</v>
      </c>
    </row>
    <row r="1732" spans="1:11" x14ac:dyDescent="0.2">
      <c r="A1732" t="s">
        <v>2876</v>
      </c>
      <c r="B1732" t="s">
        <v>910</v>
      </c>
      <c r="C1732" s="9">
        <v>46191</v>
      </c>
      <c r="D1732" s="9">
        <v>46192</v>
      </c>
      <c r="E1732" t="s">
        <v>8</v>
      </c>
      <c r="F1732" t="s">
        <v>656</v>
      </c>
      <c r="G1732">
        <v>24</v>
      </c>
      <c r="H1732">
        <v>144.72</v>
      </c>
      <c r="I1732" t="s">
        <v>912</v>
      </c>
      <c r="K1732" t="b">
        <f>IF(Table1[[#This Row],[dispatch_date]]-Table1[[#This Row],[order_date]] &gt;=0, TRUE, FALSE)</f>
        <v>1</v>
      </c>
    </row>
    <row r="1733" spans="1:11" x14ac:dyDescent="0.2">
      <c r="A1733" t="s">
        <v>1152</v>
      </c>
      <c r="B1733" t="s">
        <v>962</v>
      </c>
      <c r="C1733" s="9">
        <v>46192</v>
      </c>
      <c r="D1733" s="9">
        <v>46193</v>
      </c>
      <c r="E1733" t="s">
        <v>44</v>
      </c>
      <c r="F1733" t="s">
        <v>662</v>
      </c>
      <c r="G1733">
        <v>72</v>
      </c>
      <c r="H1733">
        <v>435.6</v>
      </c>
      <c r="I1733" t="s">
        <v>956</v>
      </c>
      <c r="K1733" t="b">
        <f>IF(Table1[[#This Row],[dispatch_date]]-Table1[[#This Row],[order_date]] &gt;=0, TRUE, FALSE)</f>
        <v>1</v>
      </c>
    </row>
    <row r="1734" spans="1:11" x14ac:dyDescent="0.2">
      <c r="A1734" t="s">
        <v>1379</v>
      </c>
      <c r="B1734" t="s">
        <v>1056</v>
      </c>
      <c r="C1734" s="9">
        <v>46192</v>
      </c>
      <c r="D1734" s="9"/>
      <c r="E1734" t="s">
        <v>90</v>
      </c>
      <c r="F1734" t="s">
        <v>716</v>
      </c>
      <c r="G1734">
        <v>24</v>
      </c>
      <c r="H1734">
        <v>201.6</v>
      </c>
      <c r="I1734" t="s">
        <v>912</v>
      </c>
      <c r="K1734" t="b">
        <f>IF(Table1[[#This Row],[dispatch_date]]-Table1[[#This Row],[order_date]] &gt;=0, TRUE, FALSE)</f>
        <v>0</v>
      </c>
    </row>
    <row r="1735" spans="1:11" x14ac:dyDescent="0.2">
      <c r="A1735" t="s">
        <v>1425</v>
      </c>
      <c r="B1735" t="s">
        <v>1052</v>
      </c>
      <c r="C1735" s="9">
        <v>46192</v>
      </c>
      <c r="D1735" s="9">
        <v>46192</v>
      </c>
      <c r="E1735" t="s">
        <v>28</v>
      </c>
      <c r="F1735" t="s">
        <v>514</v>
      </c>
      <c r="G1735">
        <v>48</v>
      </c>
      <c r="H1735">
        <v>275.52</v>
      </c>
      <c r="I1735" t="s">
        <v>956</v>
      </c>
      <c r="K1735" t="b">
        <f>IF(Table1[[#This Row],[dispatch_date]]-Table1[[#This Row],[order_date]] &gt;=0, TRUE, FALSE)</f>
        <v>1</v>
      </c>
    </row>
    <row r="1736" spans="1:11" x14ac:dyDescent="0.2">
      <c r="A1736" t="s">
        <v>1977</v>
      </c>
      <c r="B1736" t="s">
        <v>1074</v>
      </c>
      <c r="C1736" s="9">
        <v>46192</v>
      </c>
      <c r="D1736" s="9">
        <v>46195</v>
      </c>
      <c r="E1736" t="s">
        <v>84</v>
      </c>
      <c r="F1736" t="s">
        <v>670</v>
      </c>
      <c r="G1736">
        <v>24</v>
      </c>
      <c r="H1736">
        <v>53.52</v>
      </c>
      <c r="I1736" t="s">
        <v>916</v>
      </c>
      <c r="K1736" t="b">
        <f>IF(Table1[[#This Row],[dispatch_date]]-Table1[[#This Row],[order_date]] &gt;=0, TRUE, FALSE)</f>
        <v>1</v>
      </c>
    </row>
    <row r="1737" spans="1:11" x14ac:dyDescent="0.2">
      <c r="A1737" t="s">
        <v>2039</v>
      </c>
      <c r="B1737" t="s">
        <v>987</v>
      </c>
      <c r="C1737" s="9">
        <v>46192</v>
      </c>
      <c r="D1737" s="9">
        <v>46194</v>
      </c>
      <c r="E1737" t="s">
        <v>125</v>
      </c>
      <c r="G1737">
        <v>24</v>
      </c>
      <c r="H1737">
        <v>183.12</v>
      </c>
      <c r="I1737" t="s">
        <v>1079</v>
      </c>
      <c r="K1737" t="b">
        <f>IF(Table1[[#This Row],[dispatch_date]]-Table1[[#This Row],[order_date]] &gt;=0, TRUE, FALSE)</f>
        <v>1</v>
      </c>
    </row>
    <row r="1738" spans="1:11" x14ac:dyDescent="0.2">
      <c r="A1738" t="s">
        <v>2695</v>
      </c>
      <c r="B1738" t="s">
        <v>925</v>
      </c>
      <c r="C1738" s="9">
        <v>46192</v>
      </c>
      <c r="D1738" s="9">
        <v>46195</v>
      </c>
      <c r="E1738" t="s">
        <v>25</v>
      </c>
      <c r="G1738">
        <v>12</v>
      </c>
      <c r="H1738">
        <v>63.27</v>
      </c>
      <c r="I1738" t="s">
        <v>927</v>
      </c>
      <c r="K1738" t="b">
        <f>IF(Table1[[#This Row],[dispatch_date]]-Table1[[#This Row],[order_date]] &gt;=0, TRUE, FALSE)</f>
        <v>1</v>
      </c>
    </row>
    <row r="1739" spans="1:11" x14ac:dyDescent="0.2">
      <c r="A1739" t="s">
        <v>2806</v>
      </c>
      <c r="B1739" t="s">
        <v>965</v>
      </c>
      <c r="C1739" s="9">
        <v>46192</v>
      </c>
      <c r="D1739" s="9">
        <v>46195</v>
      </c>
      <c r="E1739" t="s">
        <v>103</v>
      </c>
      <c r="F1739" t="s">
        <v>887</v>
      </c>
      <c r="G1739">
        <v>24</v>
      </c>
      <c r="H1739">
        <v>164.39</v>
      </c>
      <c r="I1739" t="s">
        <v>956</v>
      </c>
      <c r="K1739" t="b">
        <f>IF(Table1[[#This Row],[dispatch_date]]-Table1[[#This Row],[order_date]] &gt;=0, TRUE, FALSE)</f>
        <v>1</v>
      </c>
    </row>
    <row r="1740" spans="1:11" x14ac:dyDescent="0.2">
      <c r="A1740" t="s">
        <v>2638</v>
      </c>
      <c r="B1740" t="s">
        <v>1061</v>
      </c>
      <c r="C1740" s="9">
        <v>46193</v>
      </c>
      <c r="D1740" s="9">
        <v>46196</v>
      </c>
      <c r="E1740" t="s">
        <v>121</v>
      </c>
      <c r="F1740" t="s">
        <v>597</v>
      </c>
      <c r="G1740">
        <v>12</v>
      </c>
      <c r="H1740">
        <v>154.08000000000001</v>
      </c>
      <c r="I1740" t="s">
        <v>912</v>
      </c>
      <c r="K1740" t="b">
        <f>IF(Table1[[#This Row],[dispatch_date]]-Table1[[#This Row],[order_date]] &gt;=0, TRUE, FALSE)</f>
        <v>1</v>
      </c>
    </row>
    <row r="1741" spans="1:11" x14ac:dyDescent="0.2">
      <c r="A1741" t="s">
        <v>2877</v>
      </c>
      <c r="B1741" t="s">
        <v>906</v>
      </c>
      <c r="C1741" s="9">
        <v>46193</v>
      </c>
      <c r="D1741" s="9">
        <v>46194</v>
      </c>
      <c r="E1741" t="s">
        <v>8</v>
      </c>
      <c r="F1741" t="s">
        <v>656</v>
      </c>
      <c r="G1741">
        <v>24</v>
      </c>
      <c r="H1741">
        <v>144.72</v>
      </c>
      <c r="I1741" t="s">
        <v>938</v>
      </c>
      <c r="K1741" t="b">
        <f>IF(Table1[[#This Row],[dispatch_date]]-Table1[[#This Row],[order_date]] &gt;=0, TRUE, FALSE)</f>
        <v>1</v>
      </c>
    </row>
    <row r="1742" spans="1:11" x14ac:dyDescent="0.2">
      <c r="A1742" t="s">
        <v>2878</v>
      </c>
      <c r="B1742" t="s">
        <v>1042</v>
      </c>
      <c r="C1742" s="9">
        <v>46193</v>
      </c>
      <c r="D1742" s="9">
        <v>46194</v>
      </c>
      <c r="E1742" t="s">
        <v>8</v>
      </c>
      <c r="F1742" t="s">
        <v>656</v>
      </c>
      <c r="G1742">
        <v>12</v>
      </c>
      <c r="H1742">
        <v>72.36</v>
      </c>
      <c r="I1742" t="s">
        <v>1079</v>
      </c>
      <c r="K1742" t="b">
        <f>IF(Table1[[#This Row],[dispatch_date]]-Table1[[#This Row],[order_date]] &gt;=0, TRUE, FALSE)</f>
        <v>1</v>
      </c>
    </row>
    <row r="1743" spans="1:11" x14ac:dyDescent="0.2">
      <c r="A1743" t="s">
        <v>1237</v>
      </c>
      <c r="B1743" t="s">
        <v>960</v>
      </c>
      <c r="C1743" s="9">
        <v>46194</v>
      </c>
      <c r="D1743" s="9">
        <v>46195</v>
      </c>
      <c r="E1743" t="s">
        <v>38</v>
      </c>
      <c r="F1743" t="s">
        <v>889</v>
      </c>
      <c r="G1743">
        <v>24</v>
      </c>
      <c r="H1743">
        <v>122.4</v>
      </c>
      <c r="I1743" t="s">
        <v>927</v>
      </c>
      <c r="K1743" t="b">
        <f>IF(Table1[[#This Row],[dispatch_date]]-Table1[[#This Row],[order_date]] &gt;=0, TRUE, FALSE)</f>
        <v>1</v>
      </c>
    </row>
    <row r="1744" spans="1:11" x14ac:dyDescent="0.2">
      <c r="A1744" t="s">
        <v>1169</v>
      </c>
      <c r="B1744" t="s">
        <v>965</v>
      </c>
      <c r="C1744" s="9">
        <v>46195</v>
      </c>
      <c r="D1744" s="9">
        <v>46195</v>
      </c>
      <c r="E1744" t="s">
        <v>97</v>
      </c>
      <c r="F1744" t="s">
        <v>800</v>
      </c>
      <c r="G1744">
        <v>24</v>
      </c>
      <c r="H1744">
        <v>129.12</v>
      </c>
      <c r="I1744" t="s">
        <v>938</v>
      </c>
      <c r="K1744" t="b">
        <f>IF(Table1[[#This Row],[dispatch_date]]-Table1[[#This Row],[order_date]] &gt;=0, TRUE, FALSE)</f>
        <v>1</v>
      </c>
    </row>
    <row r="1745" spans="1:11" x14ac:dyDescent="0.2">
      <c r="A1745" t="s">
        <v>1815</v>
      </c>
      <c r="B1745" t="s">
        <v>991</v>
      </c>
      <c r="C1745" s="9">
        <v>46195</v>
      </c>
      <c r="D1745" s="9">
        <v>46195</v>
      </c>
      <c r="E1745" t="s">
        <v>112</v>
      </c>
      <c r="F1745" t="s">
        <v>327</v>
      </c>
      <c r="G1745">
        <v>12</v>
      </c>
      <c r="H1745">
        <v>72.12</v>
      </c>
      <c r="I1745" t="s">
        <v>956</v>
      </c>
      <c r="K1745" t="b">
        <f>IF(Table1[[#This Row],[dispatch_date]]-Table1[[#This Row],[order_date]] &gt;=0, TRUE, FALSE)</f>
        <v>1</v>
      </c>
    </row>
    <row r="1746" spans="1:11" x14ac:dyDescent="0.2">
      <c r="A1746" t="s">
        <v>1510</v>
      </c>
      <c r="B1746" t="s">
        <v>936</v>
      </c>
      <c r="C1746" s="9">
        <v>46196</v>
      </c>
      <c r="D1746" s="9">
        <v>46199</v>
      </c>
      <c r="E1746" t="s">
        <v>28</v>
      </c>
      <c r="F1746" t="s">
        <v>329</v>
      </c>
      <c r="G1746">
        <v>6</v>
      </c>
      <c r="H1746">
        <v>32.72</v>
      </c>
      <c r="I1746" t="s">
        <v>938</v>
      </c>
      <c r="K1746" t="b">
        <f>IF(Table1[[#This Row],[dispatch_date]]-Table1[[#This Row],[order_date]] &gt;=0, TRUE, FALSE)</f>
        <v>1</v>
      </c>
    </row>
    <row r="1747" spans="1:11" x14ac:dyDescent="0.2">
      <c r="A1747" t="s">
        <v>1777</v>
      </c>
      <c r="B1747" t="s">
        <v>1042</v>
      </c>
      <c r="C1747" s="9">
        <v>46196</v>
      </c>
      <c r="D1747" s="9">
        <v>46197</v>
      </c>
      <c r="E1747" t="s">
        <v>86</v>
      </c>
      <c r="F1747" t="s">
        <v>217</v>
      </c>
      <c r="G1747">
        <v>12</v>
      </c>
      <c r="H1747">
        <v>38.28</v>
      </c>
      <c r="I1747" t="s">
        <v>1079</v>
      </c>
      <c r="K1747" t="b">
        <f>IF(Table1[[#This Row],[dispatch_date]]-Table1[[#This Row],[order_date]] &gt;=0, TRUE, FALSE)</f>
        <v>1</v>
      </c>
    </row>
    <row r="1748" spans="1:11" x14ac:dyDescent="0.2">
      <c r="A1748" t="s">
        <v>1941</v>
      </c>
      <c r="B1748" t="s">
        <v>993</v>
      </c>
      <c r="C1748" s="9">
        <v>46196</v>
      </c>
      <c r="D1748" s="9">
        <v>46198</v>
      </c>
      <c r="E1748" t="s">
        <v>121</v>
      </c>
      <c r="F1748" t="s">
        <v>440</v>
      </c>
      <c r="G1748">
        <v>48</v>
      </c>
      <c r="H1748">
        <v>616.32000000000005</v>
      </c>
      <c r="I1748" t="s">
        <v>938</v>
      </c>
      <c r="K1748" t="b">
        <f>IF(Table1[[#This Row],[dispatch_date]]-Table1[[#This Row],[order_date]] &gt;=0, TRUE, FALSE)</f>
        <v>1</v>
      </c>
    </row>
    <row r="1749" spans="1:11" x14ac:dyDescent="0.2">
      <c r="A1749" t="s">
        <v>2010</v>
      </c>
      <c r="B1749" t="s">
        <v>1052</v>
      </c>
      <c r="C1749" s="9">
        <v>46196</v>
      </c>
      <c r="D1749" s="9"/>
      <c r="E1749" t="s">
        <v>48</v>
      </c>
      <c r="F1749" t="s">
        <v>624</v>
      </c>
      <c r="G1749">
        <v>24</v>
      </c>
      <c r="H1749">
        <v>161.76</v>
      </c>
      <c r="I1749" t="s">
        <v>956</v>
      </c>
      <c r="K1749" t="b">
        <f>IF(Table1[[#This Row],[dispatch_date]]-Table1[[#This Row],[order_date]] &gt;=0, TRUE, FALSE)</f>
        <v>0</v>
      </c>
    </row>
    <row r="1750" spans="1:11" x14ac:dyDescent="0.2">
      <c r="A1750" t="s">
        <v>2210</v>
      </c>
      <c r="B1750" t="s">
        <v>1011</v>
      </c>
      <c r="C1750" s="9">
        <v>46196</v>
      </c>
      <c r="D1750" s="9"/>
      <c r="E1750" t="s">
        <v>44</v>
      </c>
      <c r="F1750" t="s">
        <v>349</v>
      </c>
      <c r="G1750">
        <v>24</v>
      </c>
      <c r="H1750">
        <v>145.19999999999999</v>
      </c>
      <c r="I1750" t="s">
        <v>916</v>
      </c>
      <c r="K1750" t="b">
        <f>IF(Table1[[#This Row],[dispatch_date]]-Table1[[#This Row],[order_date]] &gt;=0, TRUE, FALSE)</f>
        <v>0</v>
      </c>
    </row>
    <row r="1751" spans="1:11" x14ac:dyDescent="0.2">
      <c r="A1751" t="s">
        <v>1661</v>
      </c>
      <c r="B1751" t="s">
        <v>993</v>
      </c>
      <c r="C1751" s="9">
        <v>46197</v>
      </c>
      <c r="D1751" s="9">
        <v>46199</v>
      </c>
      <c r="E1751" t="s">
        <v>54</v>
      </c>
      <c r="G1751">
        <v>24</v>
      </c>
      <c r="H1751">
        <v>106.32</v>
      </c>
      <c r="I1751" t="s">
        <v>938</v>
      </c>
      <c r="K1751" t="b">
        <f>IF(Table1[[#This Row],[dispatch_date]]-Table1[[#This Row],[order_date]] &gt;=0, TRUE, FALSE)</f>
        <v>1</v>
      </c>
    </row>
    <row r="1752" spans="1:11" x14ac:dyDescent="0.2">
      <c r="A1752" t="s">
        <v>1691</v>
      </c>
      <c r="B1752" t="s">
        <v>1049</v>
      </c>
      <c r="C1752" s="9">
        <v>46197</v>
      </c>
      <c r="D1752" s="9">
        <v>46198</v>
      </c>
      <c r="E1752" t="s">
        <v>114</v>
      </c>
      <c r="F1752" t="s">
        <v>471</v>
      </c>
      <c r="G1752">
        <v>36</v>
      </c>
      <c r="H1752">
        <v>178.2</v>
      </c>
      <c r="I1752" t="s">
        <v>927</v>
      </c>
      <c r="K1752" t="b">
        <f>IF(Table1[[#This Row],[dispatch_date]]-Table1[[#This Row],[order_date]] &gt;=0, TRUE, FALSE)</f>
        <v>1</v>
      </c>
    </row>
    <row r="1753" spans="1:11" x14ac:dyDescent="0.2">
      <c r="A1753" t="s">
        <v>2121</v>
      </c>
      <c r="B1753" t="s">
        <v>1011</v>
      </c>
      <c r="C1753" s="9">
        <v>46197</v>
      </c>
      <c r="D1753" s="9">
        <v>46197</v>
      </c>
      <c r="E1753" t="s">
        <v>105</v>
      </c>
      <c r="F1753" t="s">
        <v>423</v>
      </c>
      <c r="G1753">
        <v>72</v>
      </c>
      <c r="H1753">
        <v>428.4</v>
      </c>
      <c r="I1753" t="s">
        <v>916</v>
      </c>
      <c r="K1753" t="b">
        <f>IF(Table1[[#This Row],[dispatch_date]]-Table1[[#This Row],[order_date]] &gt;=0, TRUE, FALSE)</f>
        <v>1</v>
      </c>
    </row>
    <row r="1754" spans="1:11" x14ac:dyDescent="0.2">
      <c r="A1754" t="s">
        <v>2185</v>
      </c>
      <c r="B1754" t="s">
        <v>1067</v>
      </c>
      <c r="C1754" s="9">
        <v>46197</v>
      </c>
      <c r="D1754" s="9">
        <v>46199</v>
      </c>
      <c r="E1754" t="s">
        <v>93</v>
      </c>
      <c r="G1754">
        <v>6</v>
      </c>
      <c r="H1754">
        <v>16.739999999999998</v>
      </c>
      <c r="I1754" t="s">
        <v>956</v>
      </c>
      <c r="K1754" t="b">
        <f>IF(Table1[[#This Row],[dispatch_date]]-Table1[[#This Row],[order_date]] &gt;=0, TRUE, FALSE)</f>
        <v>1</v>
      </c>
    </row>
    <row r="1755" spans="1:11" x14ac:dyDescent="0.2">
      <c r="A1755" t="s">
        <v>1521</v>
      </c>
      <c r="B1755" t="s">
        <v>973</v>
      </c>
      <c r="C1755" s="9">
        <v>46198</v>
      </c>
      <c r="D1755" s="9">
        <v>46198</v>
      </c>
      <c r="E1755" t="s">
        <v>121</v>
      </c>
      <c r="F1755" t="s">
        <v>498</v>
      </c>
      <c r="G1755">
        <v>12</v>
      </c>
      <c r="H1755">
        <v>154.08000000000001</v>
      </c>
      <c r="I1755" t="s">
        <v>1079</v>
      </c>
      <c r="K1755" t="b">
        <f>IF(Table1[[#This Row],[dispatch_date]]-Table1[[#This Row],[order_date]] &gt;=0, TRUE, FALSE)</f>
        <v>1</v>
      </c>
    </row>
    <row r="1756" spans="1:11" x14ac:dyDescent="0.2">
      <c r="A1756" t="s">
        <v>1864</v>
      </c>
      <c r="B1756" t="s">
        <v>985</v>
      </c>
      <c r="C1756" s="9">
        <v>46198</v>
      </c>
      <c r="D1756" s="9">
        <v>46199</v>
      </c>
      <c r="E1756" t="s">
        <v>71</v>
      </c>
      <c r="F1756" t="s">
        <v>737</v>
      </c>
      <c r="G1756">
        <v>6</v>
      </c>
      <c r="H1756">
        <v>57.06</v>
      </c>
      <c r="I1756" t="s">
        <v>1079</v>
      </c>
      <c r="K1756" t="b">
        <f>IF(Table1[[#This Row],[dispatch_date]]-Table1[[#This Row],[order_date]] &gt;=0, TRUE, FALSE)</f>
        <v>1</v>
      </c>
    </row>
    <row r="1757" spans="1:11" x14ac:dyDescent="0.2">
      <c r="A1757" t="s">
        <v>2271</v>
      </c>
      <c r="B1757" t="s">
        <v>922</v>
      </c>
      <c r="C1757" s="9">
        <v>46198</v>
      </c>
      <c r="D1757" s="9">
        <v>46201</v>
      </c>
      <c r="E1757" t="s">
        <v>99</v>
      </c>
      <c r="G1757">
        <v>6</v>
      </c>
      <c r="H1757">
        <v>44.34</v>
      </c>
      <c r="I1757" t="s">
        <v>912</v>
      </c>
      <c r="K1757" t="b">
        <f>IF(Table1[[#This Row],[dispatch_date]]-Table1[[#This Row],[order_date]] &gt;=0, TRUE, FALSE)</f>
        <v>1</v>
      </c>
    </row>
    <row r="1758" spans="1:11" x14ac:dyDescent="0.2">
      <c r="A1758" t="s">
        <v>2798</v>
      </c>
      <c r="B1758" t="s">
        <v>983</v>
      </c>
      <c r="C1758" s="9">
        <v>46198</v>
      </c>
      <c r="D1758" s="9">
        <v>46198</v>
      </c>
      <c r="E1758" t="s">
        <v>8</v>
      </c>
      <c r="F1758" t="s">
        <v>252</v>
      </c>
      <c r="G1758">
        <v>12</v>
      </c>
      <c r="H1758">
        <v>72.36</v>
      </c>
      <c r="I1758" t="s">
        <v>916</v>
      </c>
      <c r="K1758" t="b">
        <f>IF(Table1[[#This Row],[dispatch_date]]-Table1[[#This Row],[order_date]] &gt;=0, TRUE, FALSE)</f>
        <v>1</v>
      </c>
    </row>
    <row r="1759" spans="1:11" x14ac:dyDescent="0.2">
      <c r="A1759" t="s">
        <v>1959</v>
      </c>
      <c r="B1759" t="s">
        <v>1021</v>
      </c>
      <c r="C1759" s="9">
        <v>46199</v>
      </c>
      <c r="D1759" s="9">
        <v>46201</v>
      </c>
      <c r="E1759" t="s">
        <v>118</v>
      </c>
      <c r="F1759" t="s">
        <v>500</v>
      </c>
      <c r="G1759">
        <v>48</v>
      </c>
      <c r="H1759">
        <v>630.72</v>
      </c>
      <c r="I1759" t="s">
        <v>916</v>
      </c>
      <c r="K1759" t="b">
        <f>IF(Table1[[#This Row],[dispatch_date]]-Table1[[#This Row],[order_date]] &gt;=0, TRUE, FALSE)</f>
        <v>1</v>
      </c>
    </row>
    <row r="1760" spans="1:11" x14ac:dyDescent="0.2">
      <c r="A1760" t="s">
        <v>2713</v>
      </c>
      <c r="B1760" t="s">
        <v>1037</v>
      </c>
      <c r="C1760" s="9">
        <v>46199</v>
      </c>
      <c r="D1760" s="9"/>
      <c r="E1760" t="s">
        <v>99</v>
      </c>
      <c r="F1760" t="s">
        <v>703</v>
      </c>
      <c r="G1760">
        <v>6</v>
      </c>
      <c r="H1760">
        <v>44.34</v>
      </c>
      <c r="I1760" t="s">
        <v>938</v>
      </c>
      <c r="K1760" t="b">
        <f>IF(Table1[[#This Row],[dispatch_date]]-Table1[[#This Row],[order_date]] &gt;=0, TRUE, FALSE)</f>
        <v>0</v>
      </c>
    </row>
    <row r="1761" spans="1:11" x14ac:dyDescent="0.2">
      <c r="A1761" t="s">
        <v>2853</v>
      </c>
      <c r="B1761" t="s">
        <v>914</v>
      </c>
      <c r="C1761" s="9">
        <v>46199</v>
      </c>
      <c r="D1761" s="9">
        <v>46202</v>
      </c>
      <c r="E1761" t="s">
        <v>125</v>
      </c>
      <c r="G1761">
        <v>24</v>
      </c>
      <c r="H1761">
        <v>183.12</v>
      </c>
      <c r="I1761" t="s">
        <v>916</v>
      </c>
      <c r="K1761" t="b">
        <f>IF(Table1[[#This Row],[dispatch_date]]-Table1[[#This Row],[order_date]] &gt;=0, TRUE, FALSE)</f>
        <v>1</v>
      </c>
    </row>
    <row r="1762" spans="1:11" x14ac:dyDescent="0.2">
      <c r="A1762" t="s">
        <v>1600</v>
      </c>
      <c r="B1762" t="s">
        <v>1037</v>
      </c>
      <c r="C1762" s="9">
        <v>46200</v>
      </c>
      <c r="D1762" s="9">
        <v>46201</v>
      </c>
      <c r="E1762" t="s">
        <v>129</v>
      </c>
      <c r="F1762" t="s">
        <v>725</v>
      </c>
      <c r="G1762">
        <v>72</v>
      </c>
      <c r="H1762">
        <v>342</v>
      </c>
      <c r="I1762" t="s">
        <v>938</v>
      </c>
      <c r="K1762" t="b">
        <f>IF(Table1[[#This Row],[dispatch_date]]-Table1[[#This Row],[order_date]] &gt;=0, TRUE, FALSE)</f>
        <v>1</v>
      </c>
    </row>
    <row r="1763" spans="1:11" x14ac:dyDescent="0.2">
      <c r="A1763" t="s">
        <v>1980</v>
      </c>
      <c r="B1763" t="s">
        <v>1001</v>
      </c>
      <c r="C1763" s="9">
        <v>46200</v>
      </c>
      <c r="D1763" s="9">
        <v>46201</v>
      </c>
      <c r="E1763" t="s">
        <v>86</v>
      </c>
      <c r="F1763" t="s">
        <v>723</v>
      </c>
      <c r="G1763">
        <v>6</v>
      </c>
      <c r="H1763">
        <v>18.18</v>
      </c>
      <c r="I1763" t="s">
        <v>916</v>
      </c>
      <c r="K1763" t="b">
        <f>IF(Table1[[#This Row],[dispatch_date]]-Table1[[#This Row],[order_date]] &gt;=0, TRUE, FALSE)</f>
        <v>1</v>
      </c>
    </row>
    <row r="1764" spans="1:11" x14ac:dyDescent="0.2">
      <c r="A1764" t="s">
        <v>2547</v>
      </c>
      <c r="B1764" t="s">
        <v>991</v>
      </c>
      <c r="C1764" s="9">
        <v>46200</v>
      </c>
      <c r="D1764" s="9">
        <v>46200</v>
      </c>
      <c r="E1764" t="s">
        <v>69</v>
      </c>
      <c r="F1764" t="s">
        <v>846</v>
      </c>
      <c r="G1764">
        <v>36</v>
      </c>
      <c r="H1764">
        <v>192.24</v>
      </c>
      <c r="I1764" t="s">
        <v>956</v>
      </c>
      <c r="K1764" t="b">
        <f>IF(Table1[[#This Row],[dispatch_date]]-Table1[[#This Row],[order_date]] &gt;=0, TRUE, FALSE)</f>
        <v>1</v>
      </c>
    </row>
    <row r="1765" spans="1:11" x14ac:dyDescent="0.2">
      <c r="A1765" t="s">
        <v>2879</v>
      </c>
      <c r="B1765" t="s">
        <v>1067</v>
      </c>
      <c r="C1765" s="9">
        <v>46200</v>
      </c>
      <c r="D1765" s="9">
        <v>46201</v>
      </c>
      <c r="E1765" t="s">
        <v>8</v>
      </c>
      <c r="F1765" t="s">
        <v>656</v>
      </c>
      <c r="G1765">
        <v>36</v>
      </c>
      <c r="H1765">
        <v>217.08</v>
      </c>
      <c r="I1765" t="s">
        <v>956</v>
      </c>
      <c r="K1765" t="b">
        <f>IF(Table1[[#This Row],[dispatch_date]]-Table1[[#This Row],[order_date]] &gt;=0, TRUE, FALSE)</f>
        <v>1</v>
      </c>
    </row>
    <row r="1766" spans="1:11" x14ac:dyDescent="0.2">
      <c r="A1766" t="s">
        <v>2882</v>
      </c>
      <c r="B1766" t="s">
        <v>965</v>
      </c>
      <c r="C1766" s="9">
        <v>46200</v>
      </c>
      <c r="D1766" s="9">
        <v>46201</v>
      </c>
      <c r="E1766" t="s">
        <v>8</v>
      </c>
      <c r="F1766" t="s">
        <v>656</v>
      </c>
      <c r="G1766">
        <v>36</v>
      </c>
      <c r="H1766">
        <v>217.08</v>
      </c>
      <c r="I1766" t="s">
        <v>956</v>
      </c>
      <c r="K1766" t="b">
        <f>IF(Table1[[#This Row],[dispatch_date]]-Table1[[#This Row],[order_date]] &gt;=0, TRUE, FALSE)</f>
        <v>1</v>
      </c>
    </row>
    <row r="1767" spans="1:11" x14ac:dyDescent="0.2">
      <c r="A1767" t="s">
        <v>2792</v>
      </c>
      <c r="B1767" t="s">
        <v>1018</v>
      </c>
      <c r="C1767" s="9">
        <v>46201</v>
      </c>
      <c r="D1767" s="9"/>
      <c r="E1767" t="s">
        <v>17</v>
      </c>
      <c r="F1767" t="s">
        <v>699</v>
      </c>
      <c r="G1767">
        <v>48</v>
      </c>
      <c r="H1767">
        <v>287.52</v>
      </c>
      <c r="I1767" t="s">
        <v>916</v>
      </c>
      <c r="K1767" t="b">
        <f>IF(Table1[[#This Row],[dispatch_date]]-Table1[[#This Row],[order_date]] &gt;=0, TRUE, FALSE)</f>
        <v>0</v>
      </c>
    </row>
    <row r="1768" spans="1:11" x14ac:dyDescent="0.2">
      <c r="A1768" t="s">
        <v>2871</v>
      </c>
      <c r="B1768" t="s">
        <v>1046</v>
      </c>
      <c r="C1768" s="9">
        <v>46201</v>
      </c>
      <c r="D1768" s="9">
        <v>46202</v>
      </c>
      <c r="E1768" t="s">
        <v>8</v>
      </c>
      <c r="F1768" t="s">
        <v>656</v>
      </c>
      <c r="G1768">
        <v>24</v>
      </c>
      <c r="H1768">
        <v>144.72</v>
      </c>
      <c r="I1768" t="s">
        <v>912</v>
      </c>
      <c r="K1768" t="b">
        <f>IF(Table1[[#This Row],[dispatch_date]]-Table1[[#This Row],[order_date]] &gt;=0, TRUE, FALSE)</f>
        <v>1</v>
      </c>
    </row>
    <row r="1769" spans="1:11" x14ac:dyDescent="0.2">
      <c r="A1769" t="s">
        <v>1933</v>
      </c>
      <c r="B1769" t="s">
        <v>1067</v>
      </c>
      <c r="C1769" s="9">
        <v>46202</v>
      </c>
      <c r="D1769" s="9">
        <v>46203</v>
      </c>
      <c r="E1769" t="s">
        <v>123</v>
      </c>
      <c r="F1769" t="s">
        <v>484</v>
      </c>
      <c r="G1769">
        <v>12</v>
      </c>
      <c r="H1769">
        <v>83.88</v>
      </c>
      <c r="I1769" t="s">
        <v>956</v>
      </c>
      <c r="K1769" t="b">
        <f>IF(Table1[[#This Row],[dispatch_date]]-Table1[[#This Row],[order_date]] &gt;=0, TRUE, FALSE)</f>
        <v>1</v>
      </c>
    </row>
    <row r="1770" spans="1:11" x14ac:dyDescent="0.2">
      <c r="A1770" t="s">
        <v>2881</v>
      </c>
      <c r="B1770" t="s">
        <v>952</v>
      </c>
      <c r="C1770" s="9">
        <v>46202</v>
      </c>
      <c r="D1770" s="9">
        <v>46203</v>
      </c>
      <c r="E1770" t="s">
        <v>8</v>
      </c>
      <c r="F1770" t="s">
        <v>656</v>
      </c>
      <c r="G1770">
        <v>24</v>
      </c>
      <c r="H1770">
        <v>144.72</v>
      </c>
      <c r="I1770" t="s">
        <v>938</v>
      </c>
      <c r="K1770" t="b">
        <f>IF(Table1[[#This Row],[dispatch_date]]-Table1[[#This Row],[order_date]] &gt;=0, TRUE, FALSE)</f>
        <v>1</v>
      </c>
    </row>
    <row r="1771" spans="1:11" x14ac:dyDescent="0.2">
      <c r="A1771" t="s">
        <v>1150</v>
      </c>
      <c r="B1771" t="s">
        <v>936</v>
      </c>
      <c r="C1771" s="9">
        <v>46203</v>
      </c>
      <c r="D1771" s="9">
        <v>46204</v>
      </c>
      <c r="E1771" t="s">
        <v>93</v>
      </c>
      <c r="F1771" t="s">
        <v>215</v>
      </c>
      <c r="G1771">
        <v>72</v>
      </c>
      <c r="H1771">
        <v>200.88</v>
      </c>
      <c r="I1771" t="s">
        <v>938</v>
      </c>
      <c r="K1771" t="b">
        <f>IF(Table1[[#This Row],[dispatch_date]]-Table1[[#This Row],[order_date]] &gt;=0, TRUE, FALSE)</f>
        <v>1</v>
      </c>
    </row>
    <row r="1772" spans="1:11" x14ac:dyDescent="0.2">
      <c r="A1772" t="s">
        <v>1452</v>
      </c>
      <c r="B1772" t="s">
        <v>1076</v>
      </c>
      <c r="C1772" s="9">
        <v>46203</v>
      </c>
      <c r="D1772" s="9">
        <v>46205</v>
      </c>
      <c r="E1772" t="s">
        <v>101</v>
      </c>
      <c r="F1772" t="s">
        <v>773</v>
      </c>
      <c r="G1772">
        <v>72</v>
      </c>
      <c r="H1772">
        <v>241.92</v>
      </c>
      <c r="I1772" t="s">
        <v>927</v>
      </c>
      <c r="K1772" t="b">
        <f>IF(Table1[[#This Row],[dispatch_date]]-Table1[[#This Row],[order_date]] &gt;=0, TRUE, FALSE)</f>
        <v>1</v>
      </c>
    </row>
    <row r="1773" spans="1:11" x14ac:dyDescent="0.2">
      <c r="A1773" t="s">
        <v>1176</v>
      </c>
      <c r="B1773" t="s">
        <v>993</v>
      </c>
      <c r="C1773" s="9">
        <v>46204</v>
      </c>
      <c r="D1773" s="9">
        <v>46207</v>
      </c>
      <c r="E1773" t="s">
        <v>74</v>
      </c>
      <c r="F1773" t="s">
        <v>537</v>
      </c>
      <c r="G1773">
        <v>48</v>
      </c>
      <c r="H1773">
        <v>98.04</v>
      </c>
      <c r="I1773" t="s">
        <v>938</v>
      </c>
      <c r="K1773" t="b">
        <f>IF(Table1[[#This Row],[dispatch_date]]-Table1[[#This Row],[order_date]] &gt;=0, TRUE, FALSE)</f>
        <v>1</v>
      </c>
    </row>
    <row r="1774" spans="1:11" x14ac:dyDescent="0.2">
      <c r="A1774" t="s">
        <v>2215</v>
      </c>
      <c r="B1774" t="s">
        <v>968</v>
      </c>
      <c r="C1774" s="9">
        <v>46204</v>
      </c>
      <c r="D1774" s="9">
        <v>46207</v>
      </c>
      <c r="E1774" t="s">
        <v>8</v>
      </c>
      <c r="G1774">
        <v>6</v>
      </c>
      <c r="H1774">
        <v>36.18</v>
      </c>
      <c r="I1774" t="s">
        <v>912</v>
      </c>
      <c r="J1774" t="s">
        <v>3134</v>
      </c>
      <c r="K1774" t="b">
        <f>IF(Table1[[#This Row],[dispatch_date]]-Table1[[#This Row],[order_date]] &gt;=0, TRUE, FALSE)</f>
        <v>1</v>
      </c>
    </row>
    <row r="1775" spans="1:11" x14ac:dyDescent="0.2">
      <c r="A1775" t="s">
        <v>2294</v>
      </c>
      <c r="B1775" t="s">
        <v>985</v>
      </c>
      <c r="C1775" s="9">
        <v>46029</v>
      </c>
      <c r="D1775" s="9">
        <v>46032</v>
      </c>
      <c r="E1775" t="s">
        <v>38</v>
      </c>
      <c r="G1775">
        <v>6</v>
      </c>
      <c r="H1775">
        <v>30.6</v>
      </c>
      <c r="I1775" t="s">
        <v>1079</v>
      </c>
      <c r="J1775" t="s">
        <v>3134</v>
      </c>
      <c r="K1775" t="b">
        <f>IF(Table1[[#This Row],[dispatch_date]]-Table1[[#This Row],[order_date]] &gt;=0, TRUE, FALSE)</f>
        <v>1</v>
      </c>
    </row>
    <row r="1776" spans="1:11" x14ac:dyDescent="0.2">
      <c r="A1776" t="s">
        <v>2390</v>
      </c>
      <c r="B1776" t="s">
        <v>968</v>
      </c>
      <c r="C1776" s="9">
        <v>46204</v>
      </c>
      <c r="D1776" s="9">
        <v>46207</v>
      </c>
      <c r="E1776" t="s">
        <v>58</v>
      </c>
      <c r="F1776" t="s">
        <v>486</v>
      </c>
      <c r="G1776">
        <v>24</v>
      </c>
      <c r="H1776">
        <v>151.19999999999999</v>
      </c>
      <c r="I1776" t="s">
        <v>938</v>
      </c>
      <c r="K1776" t="b">
        <f>IF(Table1[[#This Row],[dispatch_date]]-Table1[[#This Row],[order_date]] &gt;=0, TRUE, FALSE)</f>
        <v>1</v>
      </c>
    </row>
    <row r="1777" spans="1:11" x14ac:dyDescent="0.2">
      <c r="A1777" t="s">
        <v>1562</v>
      </c>
      <c r="B1777" t="s">
        <v>1029</v>
      </c>
      <c r="C1777" s="9">
        <v>46205</v>
      </c>
      <c r="D1777" s="9">
        <v>46205</v>
      </c>
      <c r="E1777" t="s">
        <v>101</v>
      </c>
      <c r="F1777" t="s">
        <v>773</v>
      </c>
      <c r="G1777">
        <v>48</v>
      </c>
      <c r="H1777">
        <v>161.28</v>
      </c>
      <c r="I1777" t="s">
        <v>938</v>
      </c>
      <c r="K1777" t="b">
        <f>IF(Table1[[#This Row],[dispatch_date]]-Table1[[#This Row],[order_date]] &gt;=0, TRUE, FALSE)</f>
        <v>1</v>
      </c>
    </row>
    <row r="1778" spans="1:11" x14ac:dyDescent="0.2">
      <c r="A1778" t="s">
        <v>2463</v>
      </c>
      <c r="B1778" t="s">
        <v>971</v>
      </c>
      <c r="C1778" s="9">
        <v>46205</v>
      </c>
      <c r="D1778" s="9">
        <v>46207</v>
      </c>
      <c r="E1778" t="s">
        <v>48</v>
      </c>
      <c r="F1778" t="s">
        <v>247</v>
      </c>
      <c r="G1778">
        <v>24</v>
      </c>
      <c r="H1778">
        <v>161.76</v>
      </c>
      <c r="I1778" t="s">
        <v>956</v>
      </c>
      <c r="K1778" t="b">
        <f>IF(Table1[[#This Row],[dispatch_date]]-Table1[[#This Row],[order_date]] &gt;=0, TRUE, FALSE)</f>
        <v>1</v>
      </c>
    </row>
    <row r="1779" spans="1:11" x14ac:dyDescent="0.2">
      <c r="A1779" t="s">
        <v>1801</v>
      </c>
      <c r="B1779" t="s">
        <v>985</v>
      </c>
      <c r="C1779" s="9">
        <v>46206</v>
      </c>
      <c r="D1779" s="9">
        <v>46207</v>
      </c>
      <c r="E1779" t="s">
        <v>38</v>
      </c>
      <c r="F1779" t="s">
        <v>889</v>
      </c>
      <c r="G1779">
        <v>72</v>
      </c>
      <c r="H1779">
        <v>367.2</v>
      </c>
      <c r="I1779" t="s">
        <v>1079</v>
      </c>
      <c r="K1779" t="b">
        <f>IF(Table1[[#This Row],[dispatch_date]]-Table1[[#This Row],[order_date]] &gt;=0, TRUE, FALSE)</f>
        <v>1</v>
      </c>
    </row>
    <row r="1780" spans="1:11" x14ac:dyDescent="0.2">
      <c r="A1780" t="s">
        <v>2532</v>
      </c>
      <c r="B1780" t="s">
        <v>1056</v>
      </c>
      <c r="C1780" s="9">
        <v>46206</v>
      </c>
      <c r="D1780" s="9"/>
      <c r="E1780" t="s">
        <v>129</v>
      </c>
      <c r="G1780">
        <v>36</v>
      </c>
      <c r="H1780">
        <v>171</v>
      </c>
      <c r="I1780" t="s">
        <v>912</v>
      </c>
      <c r="K1780" t="b">
        <f>IF(Table1[[#This Row],[dispatch_date]]-Table1[[#This Row],[order_date]] &gt;=0, TRUE, FALSE)</f>
        <v>0</v>
      </c>
    </row>
    <row r="1781" spans="1:11" x14ac:dyDescent="0.2">
      <c r="A1781" t="s">
        <v>2714</v>
      </c>
      <c r="B1781" t="s">
        <v>987</v>
      </c>
      <c r="C1781" s="9">
        <v>46088</v>
      </c>
      <c r="D1781" s="9">
        <v>46089</v>
      </c>
      <c r="E1781" t="s">
        <v>88</v>
      </c>
      <c r="F1781" t="s">
        <v>864</v>
      </c>
      <c r="G1781">
        <v>48</v>
      </c>
      <c r="H1781">
        <v>198.24</v>
      </c>
      <c r="I1781" t="s">
        <v>1079</v>
      </c>
      <c r="J1781" t="s">
        <v>3134</v>
      </c>
      <c r="K1781" t="b">
        <f>IF(Table1[[#This Row],[dispatch_date]]-Table1[[#This Row],[order_date]] &gt;=0, TRUE, FALSE)</f>
        <v>1</v>
      </c>
    </row>
    <row r="1782" spans="1:11" x14ac:dyDescent="0.2">
      <c r="A1782" t="s">
        <v>2888</v>
      </c>
      <c r="B1782" t="s">
        <v>939</v>
      </c>
      <c r="C1782" s="9">
        <v>46206</v>
      </c>
      <c r="D1782" s="9">
        <v>46207</v>
      </c>
      <c r="E1782" t="s">
        <v>8</v>
      </c>
      <c r="G1782">
        <v>24</v>
      </c>
      <c r="H1782">
        <v>144.72</v>
      </c>
      <c r="I1782" t="s">
        <v>916</v>
      </c>
      <c r="K1782" t="b">
        <f>IF(Table1[[#This Row],[dispatch_date]]-Table1[[#This Row],[order_date]] &gt;=0, TRUE, FALSE)</f>
        <v>1</v>
      </c>
    </row>
    <row r="1783" spans="1:11" x14ac:dyDescent="0.2">
      <c r="A1783" t="s">
        <v>1782</v>
      </c>
      <c r="B1783" t="s">
        <v>929</v>
      </c>
      <c r="C1783" s="9">
        <v>46119</v>
      </c>
      <c r="D1783" s="9">
        <v>46119</v>
      </c>
      <c r="E1783" t="s">
        <v>78</v>
      </c>
      <c r="G1783">
        <v>72</v>
      </c>
      <c r="H1783">
        <v>230.4</v>
      </c>
      <c r="I1783" t="s">
        <v>912</v>
      </c>
      <c r="J1783" t="s">
        <v>3134</v>
      </c>
      <c r="K1783" t="b">
        <f>IF(Table1[[#This Row],[dispatch_date]]-Table1[[#This Row],[order_date]] &gt;=0, TRUE, FALSE)</f>
        <v>1</v>
      </c>
    </row>
    <row r="1784" spans="1:11" x14ac:dyDescent="0.2">
      <c r="A1784" t="s">
        <v>1236</v>
      </c>
      <c r="B1784" t="s">
        <v>1042</v>
      </c>
      <c r="C1784" s="9">
        <v>46208</v>
      </c>
      <c r="D1784" s="9">
        <v>46211</v>
      </c>
      <c r="E1784" t="s">
        <v>93</v>
      </c>
      <c r="F1784" t="s">
        <v>849</v>
      </c>
      <c r="G1784">
        <v>72</v>
      </c>
      <c r="H1784">
        <v>200.88</v>
      </c>
      <c r="I1784" t="s">
        <v>1079</v>
      </c>
      <c r="K1784" t="b">
        <f>IF(Table1[[#This Row],[dispatch_date]]-Table1[[#This Row],[order_date]] &gt;=0, TRUE, FALSE)</f>
        <v>1</v>
      </c>
    </row>
    <row r="1785" spans="1:11" x14ac:dyDescent="0.2">
      <c r="A1785" t="s">
        <v>1907</v>
      </c>
      <c r="B1785" t="s">
        <v>922</v>
      </c>
      <c r="C1785" s="9">
        <v>46208</v>
      </c>
      <c r="D1785" s="9">
        <v>46208</v>
      </c>
      <c r="E1785" t="s">
        <v>129</v>
      </c>
      <c r="F1785" t="s">
        <v>725</v>
      </c>
      <c r="G1785">
        <v>6</v>
      </c>
      <c r="H1785">
        <v>28.5</v>
      </c>
      <c r="I1785" t="s">
        <v>912</v>
      </c>
      <c r="J1785" t="s">
        <v>3134</v>
      </c>
      <c r="K1785" t="b">
        <f>IF(Table1[[#This Row],[dispatch_date]]-Table1[[#This Row],[order_date]] &gt;=0, TRUE, FALSE)</f>
        <v>1</v>
      </c>
    </row>
    <row r="1786" spans="1:11" x14ac:dyDescent="0.2">
      <c r="A1786" t="s">
        <v>1099</v>
      </c>
      <c r="B1786" t="s">
        <v>976</v>
      </c>
      <c r="C1786" s="9">
        <v>46209</v>
      </c>
      <c r="D1786" s="9"/>
      <c r="E1786" t="s">
        <v>50</v>
      </c>
      <c r="F1786" t="s">
        <v>389</v>
      </c>
      <c r="G1786">
        <v>48</v>
      </c>
      <c r="H1786">
        <v>292.8</v>
      </c>
      <c r="I1786" t="s">
        <v>956</v>
      </c>
      <c r="K1786" t="b">
        <f>IF(Table1[[#This Row],[dispatch_date]]-Table1[[#This Row],[order_date]] &gt;=0, TRUE, FALSE)</f>
        <v>0</v>
      </c>
    </row>
    <row r="1787" spans="1:11" x14ac:dyDescent="0.2">
      <c r="A1787" t="s">
        <v>1229</v>
      </c>
      <c r="B1787" t="s">
        <v>929</v>
      </c>
      <c r="C1787" s="9">
        <v>46209</v>
      </c>
      <c r="D1787" s="9">
        <v>46211</v>
      </c>
      <c r="E1787" t="s">
        <v>99</v>
      </c>
      <c r="F1787" t="s">
        <v>862</v>
      </c>
      <c r="G1787">
        <v>24</v>
      </c>
      <c r="H1787">
        <v>177.36</v>
      </c>
      <c r="I1787" t="s">
        <v>912</v>
      </c>
      <c r="K1787" t="b">
        <f>IF(Table1[[#This Row],[dispatch_date]]-Table1[[#This Row],[order_date]] &gt;=0, TRUE, FALSE)</f>
        <v>1</v>
      </c>
    </row>
    <row r="1788" spans="1:11" x14ac:dyDescent="0.2">
      <c r="A1788" t="s">
        <v>1630</v>
      </c>
      <c r="B1788" t="s">
        <v>1016</v>
      </c>
      <c r="C1788" s="9">
        <v>46180</v>
      </c>
      <c r="D1788" s="9">
        <v>46182</v>
      </c>
      <c r="E1788" t="s">
        <v>90</v>
      </c>
      <c r="F1788" t="s">
        <v>209</v>
      </c>
      <c r="G1788">
        <v>36</v>
      </c>
      <c r="H1788">
        <v>302.39999999999998</v>
      </c>
      <c r="I1788" t="s">
        <v>912</v>
      </c>
      <c r="J1788" t="s">
        <v>3134</v>
      </c>
      <c r="K1788" t="b">
        <f>IF(Table1[[#This Row],[dispatch_date]]-Table1[[#This Row],[order_date]] &gt;=0, TRUE, FALSE)</f>
        <v>1</v>
      </c>
    </row>
    <row r="1789" spans="1:11" x14ac:dyDescent="0.2">
      <c r="A1789" t="s">
        <v>2620</v>
      </c>
      <c r="B1789" t="s">
        <v>958</v>
      </c>
      <c r="C1789" s="9">
        <v>46209</v>
      </c>
      <c r="D1789" s="9">
        <v>46212</v>
      </c>
      <c r="E1789" t="s">
        <v>48</v>
      </c>
      <c r="G1789">
        <v>12</v>
      </c>
      <c r="H1789">
        <v>80.88</v>
      </c>
      <c r="I1789" t="s">
        <v>956</v>
      </c>
      <c r="K1789" t="b">
        <f>IF(Table1[[#This Row],[dispatch_date]]-Table1[[#This Row],[order_date]] &gt;=0, TRUE, FALSE)</f>
        <v>1</v>
      </c>
    </row>
    <row r="1790" spans="1:11" x14ac:dyDescent="0.2">
      <c r="A1790" t="s">
        <v>2049</v>
      </c>
      <c r="B1790" t="s">
        <v>965</v>
      </c>
      <c r="C1790" s="9">
        <v>46210</v>
      </c>
      <c r="D1790" s="9">
        <v>46211</v>
      </c>
      <c r="E1790" t="s">
        <v>82</v>
      </c>
      <c r="G1790">
        <v>12</v>
      </c>
      <c r="H1790">
        <v>22.46</v>
      </c>
      <c r="I1790" t="s">
        <v>956</v>
      </c>
      <c r="K1790" t="b">
        <f>IF(Table1[[#This Row],[dispatch_date]]-Table1[[#This Row],[order_date]] &gt;=0, TRUE, FALSE)</f>
        <v>1</v>
      </c>
    </row>
    <row r="1791" spans="1:11" x14ac:dyDescent="0.2">
      <c r="A1791" t="s">
        <v>2842</v>
      </c>
      <c r="B1791" t="s">
        <v>951</v>
      </c>
      <c r="C1791" s="9">
        <v>46210</v>
      </c>
      <c r="D1791" s="9">
        <v>46210</v>
      </c>
      <c r="E1791" t="s">
        <v>22</v>
      </c>
      <c r="G1791">
        <v>72</v>
      </c>
      <c r="H1791">
        <v>339.95</v>
      </c>
      <c r="I1791" t="s">
        <v>956</v>
      </c>
      <c r="K1791" t="b">
        <f>IF(Table1[[#This Row],[dispatch_date]]-Table1[[#This Row],[order_date]] &gt;=0, TRUE, FALSE)</f>
        <v>1</v>
      </c>
    </row>
    <row r="1792" spans="1:11" x14ac:dyDescent="0.2">
      <c r="A1792" t="s">
        <v>1301</v>
      </c>
      <c r="B1792" t="s">
        <v>925</v>
      </c>
      <c r="C1792" s="9">
        <v>46212</v>
      </c>
      <c r="D1792" s="9">
        <v>46212</v>
      </c>
      <c r="E1792" t="s">
        <v>82</v>
      </c>
      <c r="G1792">
        <v>24</v>
      </c>
      <c r="H1792">
        <v>47.28</v>
      </c>
      <c r="I1792" t="s">
        <v>927</v>
      </c>
      <c r="K1792" t="b">
        <f>IF(Table1[[#This Row],[dispatch_date]]-Table1[[#This Row],[order_date]] &gt;=0, TRUE, FALSE)</f>
        <v>1</v>
      </c>
    </row>
    <row r="1793" spans="1:11" x14ac:dyDescent="0.2">
      <c r="A1793" t="s">
        <v>1740</v>
      </c>
      <c r="B1793" t="s">
        <v>976</v>
      </c>
      <c r="C1793" s="9">
        <v>46213</v>
      </c>
      <c r="D1793" s="9">
        <v>46215</v>
      </c>
      <c r="E1793" t="s">
        <v>123</v>
      </c>
      <c r="F1793" t="s">
        <v>855</v>
      </c>
      <c r="G1793">
        <v>12</v>
      </c>
      <c r="H1793">
        <v>83.88</v>
      </c>
      <c r="I1793" t="s">
        <v>916</v>
      </c>
      <c r="K1793" t="b">
        <f>IF(Table1[[#This Row],[dispatch_date]]-Table1[[#This Row],[order_date]] &gt;=0, TRUE, FALSE)</f>
        <v>1</v>
      </c>
    </row>
    <row r="1794" spans="1:11" x14ac:dyDescent="0.2">
      <c r="A1794" t="s">
        <v>1466</v>
      </c>
      <c r="B1794" t="s">
        <v>952</v>
      </c>
      <c r="C1794" s="9">
        <v>46120</v>
      </c>
      <c r="D1794" s="9">
        <v>46123</v>
      </c>
      <c r="E1794" t="s">
        <v>65</v>
      </c>
      <c r="G1794">
        <v>36</v>
      </c>
      <c r="H1794">
        <v>477.72</v>
      </c>
      <c r="I1794" t="s">
        <v>938</v>
      </c>
      <c r="J1794" t="s">
        <v>3134</v>
      </c>
      <c r="K1794" t="b">
        <f>IF(Table1[[#This Row],[dispatch_date]]-Table1[[#This Row],[order_date]] &gt;=0, TRUE, FALSE)</f>
        <v>1</v>
      </c>
    </row>
    <row r="1795" spans="1:11" x14ac:dyDescent="0.2">
      <c r="A1795" t="s">
        <v>1243</v>
      </c>
      <c r="B1795" t="s">
        <v>925</v>
      </c>
      <c r="C1795" s="9">
        <v>46211</v>
      </c>
      <c r="D1795" s="9">
        <v>46212</v>
      </c>
      <c r="E1795" t="s">
        <v>99</v>
      </c>
      <c r="F1795" t="s">
        <v>804</v>
      </c>
      <c r="G1795">
        <v>72</v>
      </c>
      <c r="H1795">
        <v>532.08000000000004</v>
      </c>
      <c r="I1795" t="s">
        <v>927</v>
      </c>
      <c r="J1795" t="s">
        <v>3134</v>
      </c>
      <c r="K1795" t="b">
        <f>IF(Table1[[#This Row],[dispatch_date]]-Table1[[#This Row],[order_date]] &gt;=0, TRUE, FALSE)</f>
        <v>1</v>
      </c>
    </row>
    <row r="1796" spans="1:11" x14ac:dyDescent="0.2">
      <c r="A1796" t="s">
        <v>2629</v>
      </c>
      <c r="B1796" t="s">
        <v>948</v>
      </c>
      <c r="C1796" s="9">
        <v>46091</v>
      </c>
      <c r="D1796" s="9">
        <v>46092</v>
      </c>
      <c r="E1796" t="s">
        <v>129</v>
      </c>
      <c r="G1796">
        <v>24</v>
      </c>
      <c r="H1796">
        <v>114</v>
      </c>
      <c r="I1796" t="s">
        <v>938</v>
      </c>
      <c r="J1796" t="s">
        <v>3134</v>
      </c>
      <c r="K1796" t="b">
        <f>IF(Table1[[#This Row],[dispatch_date]]-Table1[[#This Row],[order_date]] &gt;=0, TRUE, FALSE)</f>
        <v>1</v>
      </c>
    </row>
    <row r="1797" spans="1:11" x14ac:dyDescent="0.2">
      <c r="A1797" t="s">
        <v>2196</v>
      </c>
      <c r="B1797" t="s">
        <v>952</v>
      </c>
      <c r="C1797" s="9">
        <v>46122</v>
      </c>
      <c r="D1797" s="9">
        <v>46123</v>
      </c>
      <c r="E1797" t="s">
        <v>127</v>
      </c>
      <c r="G1797">
        <v>12</v>
      </c>
      <c r="H1797">
        <v>49.2</v>
      </c>
      <c r="I1797" t="s">
        <v>938</v>
      </c>
      <c r="J1797" t="s">
        <v>3134</v>
      </c>
      <c r="K1797" t="b">
        <f>IF(Table1[[#This Row],[dispatch_date]]-Table1[[#This Row],[order_date]] &gt;=0, TRUE, FALSE)</f>
        <v>1</v>
      </c>
    </row>
    <row r="1798" spans="1:11" x14ac:dyDescent="0.2">
      <c r="A1798" t="s">
        <v>2420</v>
      </c>
      <c r="B1798" t="s">
        <v>1080</v>
      </c>
      <c r="C1798" s="9">
        <v>46122</v>
      </c>
      <c r="D1798" s="9">
        <v>46124</v>
      </c>
      <c r="E1798" t="s">
        <v>17</v>
      </c>
      <c r="G1798">
        <v>72</v>
      </c>
      <c r="H1798">
        <v>431.28</v>
      </c>
      <c r="I1798" t="s">
        <v>916</v>
      </c>
      <c r="J1798" t="s">
        <v>3134</v>
      </c>
      <c r="K1798" t="b">
        <f>IF(Table1[[#This Row],[dispatch_date]]-Table1[[#This Row],[order_date]] &gt;=0, TRUE, FALSE)</f>
        <v>1</v>
      </c>
    </row>
    <row r="1799" spans="1:11" x14ac:dyDescent="0.2">
      <c r="A1799" t="s">
        <v>1587</v>
      </c>
      <c r="B1799" t="s">
        <v>991</v>
      </c>
      <c r="C1799" s="9">
        <v>46213</v>
      </c>
      <c r="D1799" s="9">
        <v>46216</v>
      </c>
      <c r="E1799" t="s">
        <v>105</v>
      </c>
      <c r="F1799" t="s">
        <v>463</v>
      </c>
      <c r="G1799">
        <v>6</v>
      </c>
      <c r="H1799">
        <v>35.700000000000003</v>
      </c>
      <c r="I1799" t="s">
        <v>956</v>
      </c>
      <c r="J1799" t="s">
        <v>3134</v>
      </c>
      <c r="K1799" t="b">
        <f>IF(Table1[[#This Row],[dispatch_date]]-Table1[[#This Row],[order_date]] &gt;=0, TRUE, FALSE)</f>
        <v>1</v>
      </c>
    </row>
    <row r="1800" spans="1:11" x14ac:dyDescent="0.2">
      <c r="A1800" t="s">
        <v>1698</v>
      </c>
      <c r="B1800" t="s">
        <v>989</v>
      </c>
      <c r="C1800" s="9">
        <v>46123</v>
      </c>
      <c r="D1800" s="9">
        <v>46125</v>
      </c>
      <c r="E1800" t="s">
        <v>22</v>
      </c>
      <c r="F1800" t="s">
        <v>819</v>
      </c>
      <c r="G1800">
        <v>24</v>
      </c>
      <c r="H1800">
        <v>119.28</v>
      </c>
      <c r="I1800" t="s">
        <v>916</v>
      </c>
      <c r="J1800" t="s">
        <v>3134</v>
      </c>
      <c r="K1800" t="b">
        <f>IF(Table1[[#This Row],[dispatch_date]]-Table1[[#This Row],[order_date]] &gt;=0, TRUE, FALSE)</f>
        <v>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1"/>
  <sheetViews>
    <sheetView tabSelected="1" zoomScale="220" workbookViewId="0">
      <selection activeCell="B14" sqref="B14"/>
    </sheetView>
  </sheetViews>
  <sheetFormatPr baseColWidth="10" defaultColWidth="8.83203125" defaultRowHeight="15" x14ac:dyDescent="0.2"/>
  <cols>
    <col min="1" max="1" width="13.6640625" customWidth="1"/>
    <col min="2" max="2" width="13.1640625" customWidth="1"/>
    <col min="3" max="3" width="12" customWidth="1"/>
    <col min="4" max="4" width="10.1640625" customWidth="1"/>
    <col min="5" max="5" width="15.6640625" customWidth="1"/>
    <col min="6" max="6" width="17" bestFit="1" customWidth="1"/>
    <col min="7" max="7" width="9.6640625" customWidth="1"/>
    <col min="8" max="8" width="16.6640625" customWidth="1"/>
    <col min="9" max="9" width="15.6640625" customWidth="1"/>
    <col min="10" max="10" width="29.33203125" bestFit="1" customWidth="1"/>
  </cols>
  <sheetData>
    <row r="1" spans="1:10" x14ac:dyDescent="0.2">
      <c r="A1" s="12" t="s">
        <v>2889</v>
      </c>
      <c r="B1" s="12" t="s">
        <v>895</v>
      </c>
      <c r="C1" s="12" t="s">
        <v>0</v>
      </c>
      <c r="D1" s="12" t="s">
        <v>170</v>
      </c>
      <c r="E1" s="13" t="s">
        <v>2890</v>
      </c>
      <c r="F1" s="12" t="s">
        <v>2891</v>
      </c>
      <c r="G1" s="12" t="s">
        <v>2892</v>
      </c>
      <c r="H1" s="12" t="s">
        <v>2893</v>
      </c>
      <c r="I1" s="12" t="s">
        <v>2894</v>
      </c>
      <c r="J1" s="12" t="s">
        <v>3126</v>
      </c>
    </row>
    <row r="2" spans="1:10" x14ac:dyDescent="0.2">
      <c r="A2" t="s">
        <v>2895</v>
      </c>
      <c r="B2" t="s">
        <v>954</v>
      </c>
      <c r="C2" t="s">
        <v>17</v>
      </c>
      <c r="D2" t="s">
        <v>878</v>
      </c>
      <c r="E2" s="9">
        <v>46199</v>
      </c>
      <c r="F2" t="s">
        <v>2896</v>
      </c>
      <c r="G2" t="s">
        <v>2897</v>
      </c>
      <c r="H2" t="s">
        <v>2898</v>
      </c>
    </row>
    <row r="3" spans="1:10" x14ac:dyDescent="0.2">
      <c r="A3" t="s">
        <v>2899</v>
      </c>
      <c r="B3" t="s">
        <v>991</v>
      </c>
      <c r="C3" t="s">
        <v>50</v>
      </c>
      <c r="E3" s="9">
        <v>45789</v>
      </c>
      <c r="F3" t="s">
        <v>2900</v>
      </c>
      <c r="G3" t="s">
        <v>2901</v>
      </c>
      <c r="H3" t="s">
        <v>2898</v>
      </c>
      <c r="I3">
        <v>13</v>
      </c>
    </row>
    <row r="4" spans="1:10" x14ac:dyDescent="0.2">
      <c r="A4" t="s">
        <v>2902</v>
      </c>
      <c r="B4" t="s">
        <v>962</v>
      </c>
      <c r="C4" t="s">
        <v>17</v>
      </c>
      <c r="E4" s="9">
        <v>46038</v>
      </c>
      <c r="F4" t="s">
        <v>2903</v>
      </c>
      <c r="G4" t="s">
        <v>2904</v>
      </c>
      <c r="H4" t="s">
        <v>2898</v>
      </c>
      <c r="I4">
        <v>18</v>
      </c>
    </row>
    <row r="5" spans="1:10" x14ac:dyDescent="0.2">
      <c r="A5" t="s">
        <v>2905</v>
      </c>
      <c r="B5" t="s">
        <v>991</v>
      </c>
      <c r="C5" t="s">
        <v>118</v>
      </c>
      <c r="E5" s="9">
        <v>45910</v>
      </c>
      <c r="F5" t="s">
        <v>2950</v>
      </c>
      <c r="G5" t="s">
        <v>2904</v>
      </c>
      <c r="H5" t="s">
        <v>2898</v>
      </c>
    </row>
    <row r="6" spans="1:10" x14ac:dyDescent="0.2">
      <c r="A6" t="s">
        <v>2906</v>
      </c>
      <c r="B6" t="s">
        <v>922</v>
      </c>
      <c r="C6" t="s">
        <v>74</v>
      </c>
      <c r="D6" t="s">
        <v>860</v>
      </c>
      <c r="E6" s="9">
        <v>45826</v>
      </c>
      <c r="F6" t="s">
        <v>2903</v>
      </c>
      <c r="G6" t="s">
        <v>2901</v>
      </c>
      <c r="H6" t="s">
        <v>2898</v>
      </c>
      <c r="I6">
        <v>3</v>
      </c>
    </row>
    <row r="7" spans="1:10" x14ac:dyDescent="0.2">
      <c r="A7" t="s">
        <v>2907</v>
      </c>
      <c r="B7" t="s">
        <v>976</v>
      </c>
      <c r="C7" t="s">
        <v>54</v>
      </c>
      <c r="D7" t="s">
        <v>341</v>
      </c>
      <c r="E7" s="9">
        <v>46062</v>
      </c>
      <c r="F7" t="s">
        <v>2903</v>
      </c>
      <c r="G7" t="s">
        <v>2897</v>
      </c>
      <c r="H7" t="s">
        <v>2908</v>
      </c>
    </row>
    <row r="8" spans="1:10" x14ac:dyDescent="0.2">
      <c r="A8" t="s">
        <v>2909</v>
      </c>
      <c r="B8" t="s">
        <v>1076</v>
      </c>
      <c r="C8" t="s">
        <v>123</v>
      </c>
      <c r="E8" s="9">
        <v>45717</v>
      </c>
      <c r="F8" t="s">
        <v>2900</v>
      </c>
      <c r="G8" t="s">
        <v>2904</v>
      </c>
      <c r="H8" t="s">
        <v>2898</v>
      </c>
    </row>
    <row r="9" spans="1:10" x14ac:dyDescent="0.2">
      <c r="A9" t="s">
        <v>2910</v>
      </c>
      <c r="B9" t="s">
        <v>991</v>
      </c>
      <c r="E9" s="9">
        <v>45921</v>
      </c>
      <c r="F9" t="s">
        <v>2903</v>
      </c>
      <c r="G9" t="s">
        <v>2918</v>
      </c>
      <c r="H9" t="s">
        <v>944</v>
      </c>
      <c r="I9">
        <v>19</v>
      </c>
    </row>
    <row r="10" spans="1:10" x14ac:dyDescent="0.2">
      <c r="A10" t="s">
        <v>2911</v>
      </c>
      <c r="B10" t="s">
        <v>1074</v>
      </c>
      <c r="C10" t="s">
        <v>65</v>
      </c>
      <c r="D10" t="s">
        <v>616</v>
      </c>
      <c r="E10" s="9">
        <v>46206</v>
      </c>
      <c r="F10" t="s">
        <v>2900</v>
      </c>
      <c r="G10" t="s">
        <v>2904</v>
      </c>
      <c r="H10" t="s">
        <v>2912</v>
      </c>
    </row>
    <row r="11" spans="1:10" x14ac:dyDescent="0.2">
      <c r="A11" t="s">
        <v>2913</v>
      </c>
      <c r="B11" t="s">
        <v>1006</v>
      </c>
      <c r="C11" t="s">
        <v>88</v>
      </c>
      <c r="D11" t="s">
        <v>648</v>
      </c>
      <c r="E11" s="9">
        <v>45816</v>
      </c>
      <c r="F11" t="s">
        <v>2950</v>
      </c>
      <c r="G11" t="s">
        <v>2904</v>
      </c>
      <c r="H11" t="s">
        <v>2908</v>
      </c>
    </row>
    <row r="12" spans="1:10" x14ac:dyDescent="0.2">
      <c r="A12" t="s">
        <v>2914</v>
      </c>
      <c r="B12" t="s">
        <v>914</v>
      </c>
      <c r="C12" t="s">
        <v>123</v>
      </c>
      <c r="D12" t="s">
        <v>855</v>
      </c>
      <c r="E12" s="9">
        <v>46166</v>
      </c>
      <c r="F12" t="s">
        <v>2916</v>
      </c>
      <c r="G12" t="s">
        <v>2918</v>
      </c>
      <c r="H12" t="s">
        <v>2898</v>
      </c>
      <c r="I12">
        <v>15</v>
      </c>
    </row>
    <row r="13" spans="1:10" x14ac:dyDescent="0.2">
      <c r="A13" t="s">
        <v>2915</v>
      </c>
      <c r="B13" t="s">
        <v>1006</v>
      </c>
      <c r="C13" t="s">
        <v>88</v>
      </c>
      <c r="D13" t="s">
        <v>648</v>
      </c>
      <c r="E13" s="9">
        <v>46167</v>
      </c>
      <c r="F13" t="s">
        <v>2916</v>
      </c>
      <c r="G13" t="s">
        <v>2897</v>
      </c>
      <c r="H13" t="s">
        <v>944</v>
      </c>
      <c r="I13">
        <v>19</v>
      </c>
    </row>
    <row r="14" spans="1:10" x14ac:dyDescent="0.2">
      <c r="A14" t="s">
        <v>2917</v>
      </c>
      <c r="B14" t="s">
        <v>991</v>
      </c>
      <c r="C14" t="s">
        <v>90</v>
      </c>
      <c r="E14" s="9">
        <v>45871</v>
      </c>
      <c r="F14" t="s">
        <v>2896</v>
      </c>
      <c r="G14" t="s">
        <v>2918</v>
      </c>
      <c r="H14" t="s">
        <v>2898</v>
      </c>
      <c r="I14">
        <v>19</v>
      </c>
    </row>
    <row r="15" spans="1:10" x14ac:dyDescent="0.2">
      <c r="A15" t="s">
        <v>2919</v>
      </c>
      <c r="B15" t="s">
        <v>960</v>
      </c>
      <c r="C15" t="s">
        <v>93</v>
      </c>
      <c r="E15" s="9">
        <v>46161</v>
      </c>
      <c r="F15" t="s">
        <v>2950</v>
      </c>
      <c r="G15" t="s">
        <v>2918</v>
      </c>
      <c r="H15" t="s">
        <v>2898</v>
      </c>
      <c r="I15">
        <v>9</v>
      </c>
    </row>
    <row r="16" spans="1:10" x14ac:dyDescent="0.2">
      <c r="A16" t="s">
        <v>2920</v>
      </c>
      <c r="B16" t="s">
        <v>979</v>
      </c>
      <c r="C16" t="s">
        <v>78</v>
      </c>
      <c r="D16" t="s">
        <v>273</v>
      </c>
      <c r="E16" s="9">
        <v>46196</v>
      </c>
      <c r="F16" t="s">
        <v>2900</v>
      </c>
      <c r="G16" t="s">
        <v>2897</v>
      </c>
      <c r="H16" t="s">
        <v>2912</v>
      </c>
    </row>
    <row r="17" spans="1:10" x14ac:dyDescent="0.2">
      <c r="A17" t="s">
        <v>2921</v>
      </c>
      <c r="B17" t="s">
        <v>989</v>
      </c>
      <c r="C17" t="s">
        <v>127</v>
      </c>
      <c r="D17" t="s">
        <v>483</v>
      </c>
      <c r="E17" s="9">
        <v>46003</v>
      </c>
      <c r="F17" t="s">
        <v>2916</v>
      </c>
      <c r="G17" t="s">
        <v>2904</v>
      </c>
      <c r="H17" t="s">
        <v>2898</v>
      </c>
      <c r="I17">
        <v>17</v>
      </c>
    </row>
    <row r="18" spans="1:10" x14ac:dyDescent="0.2">
      <c r="A18" t="s">
        <v>2922</v>
      </c>
      <c r="B18" t="s">
        <v>1056</v>
      </c>
      <c r="C18" t="s">
        <v>97</v>
      </c>
      <c r="E18" s="9">
        <v>45708</v>
      </c>
      <c r="F18" t="s">
        <v>2923</v>
      </c>
      <c r="G18" t="s">
        <v>2918</v>
      </c>
      <c r="H18" t="s">
        <v>2898</v>
      </c>
      <c r="I18">
        <v>5</v>
      </c>
    </row>
    <row r="19" spans="1:10" x14ac:dyDescent="0.2">
      <c r="A19" t="s">
        <v>2924</v>
      </c>
      <c r="B19" t="s">
        <v>960</v>
      </c>
      <c r="C19" t="s">
        <v>86</v>
      </c>
      <c r="D19" t="s">
        <v>766</v>
      </c>
      <c r="E19" s="9">
        <v>45698</v>
      </c>
      <c r="F19" t="s">
        <v>2900</v>
      </c>
      <c r="G19" t="s">
        <v>2918</v>
      </c>
      <c r="H19" t="s">
        <v>2898</v>
      </c>
      <c r="I19">
        <v>14</v>
      </c>
    </row>
    <row r="20" spans="1:10" x14ac:dyDescent="0.2">
      <c r="A20" t="s">
        <v>2925</v>
      </c>
      <c r="B20" t="s">
        <v>998</v>
      </c>
      <c r="C20" t="s">
        <v>127</v>
      </c>
      <c r="E20" s="9">
        <v>45830</v>
      </c>
      <c r="F20" t="s">
        <v>2950</v>
      </c>
      <c r="G20" t="s">
        <v>2904</v>
      </c>
      <c r="H20" t="s">
        <v>2912</v>
      </c>
    </row>
    <row r="21" spans="1:10" x14ac:dyDescent="0.2">
      <c r="A21" t="s">
        <v>2926</v>
      </c>
      <c r="B21" t="s">
        <v>901</v>
      </c>
      <c r="C21" t="s">
        <v>17</v>
      </c>
      <c r="E21" s="9">
        <v>45775</v>
      </c>
      <c r="F21" t="s">
        <v>2903</v>
      </c>
      <c r="G21" t="s">
        <v>2904</v>
      </c>
      <c r="H21" t="s">
        <v>944</v>
      </c>
      <c r="I21">
        <v>9</v>
      </c>
    </row>
    <row r="22" spans="1:10" x14ac:dyDescent="0.2">
      <c r="A22" t="s">
        <v>2927</v>
      </c>
      <c r="B22" t="s">
        <v>971</v>
      </c>
      <c r="C22" t="s">
        <v>25</v>
      </c>
      <c r="D22" t="s">
        <v>610</v>
      </c>
      <c r="E22" s="9">
        <v>45805</v>
      </c>
      <c r="F22" t="s">
        <v>2900</v>
      </c>
      <c r="G22" t="s">
        <v>2918</v>
      </c>
      <c r="H22" t="s">
        <v>944</v>
      </c>
      <c r="I22">
        <v>-3</v>
      </c>
      <c r="J22" t="s">
        <v>3128</v>
      </c>
    </row>
    <row r="23" spans="1:10" x14ac:dyDescent="0.2">
      <c r="A23" t="s">
        <v>2928</v>
      </c>
      <c r="B23" t="s">
        <v>948</v>
      </c>
      <c r="C23" t="s">
        <v>30</v>
      </c>
      <c r="E23" s="9">
        <v>45702</v>
      </c>
      <c r="F23" t="s">
        <v>2916</v>
      </c>
      <c r="G23" t="s">
        <v>2904</v>
      </c>
      <c r="H23" t="s">
        <v>944</v>
      </c>
      <c r="I23">
        <v>21</v>
      </c>
    </row>
    <row r="24" spans="1:10" x14ac:dyDescent="0.2">
      <c r="A24" t="s">
        <v>2929</v>
      </c>
      <c r="B24" t="s">
        <v>1006</v>
      </c>
      <c r="C24" t="s">
        <v>127</v>
      </c>
      <c r="D24" t="s">
        <v>483</v>
      </c>
      <c r="E24" s="9">
        <v>45849</v>
      </c>
      <c r="F24" t="s">
        <v>2896</v>
      </c>
      <c r="G24" t="s">
        <v>2904</v>
      </c>
      <c r="H24" t="s">
        <v>2898</v>
      </c>
      <c r="I24">
        <v>10</v>
      </c>
    </row>
    <row r="25" spans="1:10" x14ac:dyDescent="0.2">
      <c r="A25" t="s">
        <v>2930</v>
      </c>
      <c r="B25" t="s">
        <v>1018</v>
      </c>
      <c r="C25" t="s">
        <v>69</v>
      </c>
      <c r="E25" s="9">
        <v>46116</v>
      </c>
      <c r="F25" t="s">
        <v>2923</v>
      </c>
      <c r="G25" t="s">
        <v>2904</v>
      </c>
      <c r="H25" t="s">
        <v>944</v>
      </c>
      <c r="I25">
        <v>16</v>
      </c>
    </row>
    <row r="26" spans="1:10" x14ac:dyDescent="0.2">
      <c r="A26" t="s">
        <v>2931</v>
      </c>
      <c r="B26" t="s">
        <v>996</v>
      </c>
      <c r="C26" t="s">
        <v>125</v>
      </c>
      <c r="E26" s="9">
        <v>46130</v>
      </c>
      <c r="F26" t="s">
        <v>2916</v>
      </c>
      <c r="G26" t="s">
        <v>2904</v>
      </c>
      <c r="H26" t="s">
        <v>944</v>
      </c>
      <c r="I26">
        <v>6</v>
      </c>
    </row>
    <row r="27" spans="1:10" x14ac:dyDescent="0.2">
      <c r="A27" t="s">
        <v>2932</v>
      </c>
      <c r="B27" t="s">
        <v>1048</v>
      </c>
      <c r="C27" t="s">
        <v>54</v>
      </c>
      <c r="E27" s="9">
        <v>45705</v>
      </c>
      <c r="F27" t="s">
        <v>2916</v>
      </c>
      <c r="G27" t="s">
        <v>2904</v>
      </c>
      <c r="H27" t="s">
        <v>2898</v>
      </c>
    </row>
    <row r="28" spans="1:10" x14ac:dyDescent="0.2">
      <c r="A28" t="s">
        <v>2933</v>
      </c>
      <c r="B28" t="s">
        <v>979</v>
      </c>
      <c r="C28" t="s">
        <v>25</v>
      </c>
      <c r="D28" t="s">
        <v>839</v>
      </c>
      <c r="E28" s="9">
        <v>46151</v>
      </c>
      <c r="F28" t="s">
        <v>2916</v>
      </c>
      <c r="G28" t="s">
        <v>2904</v>
      </c>
      <c r="H28" t="s">
        <v>2898</v>
      </c>
      <c r="I28">
        <v>8</v>
      </c>
    </row>
    <row r="29" spans="1:10" x14ac:dyDescent="0.2">
      <c r="A29" t="s">
        <v>2934</v>
      </c>
      <c r="B29" t="s">
        <v>1001</v>
      </c>
      <c r="C29" t="s">
        <v>84</v>
      </c>
      <c r="E29" s="9">
        <v>45943</v>
      </c>
      <c r="F29" t="s">
        <v>2900</v>
      </c>
      <c r="G29" t="s">
        <v>2918</v>
      </c>
      <c r="H29" t="s">
        <v>2912</v>
      </c>
    </row>
    <row r="30" spans="1:10" x14ac:dyDescent="0.2">
      <c r="A30" t="s">
        <v>2935</v>
      </c>
      <c r="B30" t="s">
        <v>979</v>
      </c>
      <c r="C30" t="s">
        <v>54</v>
      </c>
      <c r="E30" s="9">
        <v>45963</v>
      </c>
      <c r="F30" t="s">
        <v>2900</v>
      </c>
      <c r="G30" t="s">
        <v>2918</v>
      </c>
      <c r="H30" t="s">
        <v>2908</v>
      </c>
    </row>
    <row r="31" spans="1:10" x14ac:dyDescent="0.2">
      <c r="A31" t="s">
        <v>2936</v>
      </c>
      <c r="B31" t="s">
        <v>914</v>
      </c>
      <c r="C31" t="s">
        <v>123</v>
      </c>
      <c r="D31" t="s">
        <v>855</v>
      </c>
      <c r="E31" s="9">
        <v>45972</v>
      </c>
      <c r="F31" t="s">
        <v>2923</v>
      </c>
      <c r="G31" t="s">
        <v>2918</v>
      </c>
      <c r="H31" t="s">
        <v>2898</v>
      </c>
      <c r="I31">
        <v>7</v>
      </c>
    </row>
    <row r="32" spans="1:10" x14ac:dyDescent="0.2">
      <c r="A32" t="s">
        <v>2937</v>
      </c>
      <c r="B32" t="s">
        <v>981</v>
      </c>
      <c r="C32" t="s">
        <v>38</v>
      </c>
      <c r="D32" t="s">
        <v>889</v>
      </c>
      <c r="E32" s="9">
        <v>45916</v>
      </c>
      <c r="F32" t="s">
        <v>2903</v>
      </c>
      <c r="G32" t="s">
        <v>2904</v>
      </c>
      <c r="H32" t="s">
        <v>2898</v>
      </c>
      <c r="I32">
        <v>7</v>
      </c>
    </row>
    <row r="33" spans="1:9" x14ac:dyDescent="0.2">
      <c r="A33" t="s">
        <v>2938</v>
      </c>
      <c r="B33" t="s">
        <v>952</v>
      </c>
      <c r="C33" t="s">
        <v>74</v>
      </c>
      <c r="D33" t="s">
        <v>708</v>
      </c>
      <c r="E33" s="9">
        <v>46037</v>
      </c>
      <c r="F33" t="s">
        <v>2916</v>
      </c>
      <c r="G33" t="s">
        <v>2918</v>
      </c>
      <c r="H33" t="s">
        <v>2898</v>
      </c>
    </row>
    <row r="34" spans="1:9" x14ac:dyDescent="0.2">
      <c r="A34" t="s">
        <v>2939</v>
      </c>
      <c r="B34" t="s">
        <v>1074</v>
      </c>
      <c r="C34" t="s">
        <v>90</v>
      </c>
      <c r="D34" t="s">
        <v>716</v>
      </c>
      <c r="E34" s="9">
        <v>45711</v>
      </c>
      <c r="F34" t="s">
        <v>2923</v>
      </c>
      <c r="G34" t="s">
        <v>2904</v>
      </c>
      <c r="H34" t="s">
        <v>2898</v>
      </c>
      <c r="I34">
        <v>18</v>
      </c>
    </row>
    <row r="35" spans="1:9" x14ac:dyDescent="0.2">
      <c r="A35" t="s">
        <v>2940</v>
      </c>
      <c r="B35" t="s">
        <v>960</v>
      </c>
      <c r="C35" t="s">
        <v>38</v>
      </c>
      <c r="E35" s="9">
        <v>46098</v>
      </c>
      <c r="F35" t="s">
        <v>2923</v>
      </c>
      <c r="G35" t="s">
        <v>2904</v>
      </c>
      <c r="H35" t="s">
        <v>2908</v>
      </c>
    </row>
    <row r="36" spans="1:9" x14ac:dyDescent="0.2">
      <c r="A36" t="s">
        <v>2941</v>
      </c>
      <c r="B36" t="s">
        <v>1009</v>
      </c>
      <c r="C36" t="s">
        <v>90</v>
      </c>
      <c r="D36" t="s">
        <v>716</v>
      </c>
      <c r="E36" s="9">
        <v>46021</v>
      </c>
      <c r="F36" t="s">
        <v>2916</v>
      </c>
      <c r="G36" t="s">
        <v>2904</v>
      </c>
      <c r="H36" t="s">
        <v>2898</v>
      </c>
    </row>
    <row r="37" spans="1:9" x14ac:dyDescent="0.2">
      <c r="A37" t="s">
        <v>2942</v>
      </c>
      <c r="B37" t="s">
        <v>1056</v>
      </c>
      <c r="C37" t="s">
        <v>80</v>
      </c>
      <c r="E37" s="9">
        <v>45995</v>
      </c>
      <c r="F37" t="s">
        <v>2900</v>
      </c>
      <c r="G37" t="s">
        <v>2901</v>
      </c>
      <c r="H37" t="s">
        <v>2908</v>
      </c>
    </row>
    <row r="38" spans="1:9" x14ac:dyDescent="0.2">
      <c r="A38" t="s">
        <v>2943</v>
      </c>
      <c r="B38" t="s">
        <v>1077</v>
      </c>
      <c r="C38" t="s">
        <v>114</v>
      </c>
      <c r="E38" s="9">
        <v>46017</v>
      </c>
      <c r="F38" t="s">
        <v>2900</v>
      </c>
      <c r="G38" t="s">
        <v>2901</v>
      </c>
      <c r="H38" t="s">
        <v>2898</v>
      </c>
      <c r="I38">
        <v>2</v>
      </c>
    </row>
    <row r="39" spans="1:9" x14ac:dyDescent="0.2">
      <c r="A39" t="s">
        <v>2944</v>
      </c>
      <c r="B39" t="s">
        <v>906</v>
      </c>
      <c r="C39" t="s">
        <v>50</v>
      </c>
      <c r="D39" t="s">
        <v>558</v>
      </c>
      <c r="E39" s="9">
        <v>45917</v>
      </c>
      <c r="F39" t="s">
        <v>2903</v>
      </c>
      <c r="G39" t="s">
        <v>2901</v>
      </c>
      <c r="H39" t="s">
        <v>944</v>
      </c>
      <c r="I39">
        <v>10</v>
      </c>
    </row>
    <row r="40" spans="1:9" x14ac:dyDescent="0.2">
      <c r="A40" t="s">
        <v>2945</v>
      </c>
      <c r="B40" t="s">
        <v>1052</v>
      </c>
      <c r="C40" t="s">
        <v>90</v>
      </c>
      <c r="D40" t="s">
        <v>759</v>
      </c>
      <c r="E40" s="9">
        <v>46198</v>
      </c>
      <c r="F40" t="s">
        <v>2923</v>
      </c>
      <c r="G40" t="s">
        <v>2918</v>
      </c>
      <c r="H40" t="s">
        <v>944</v>
      </c>
      <c r="I40">
        <v>11</v>
      </c>
    </row>
    <row r="41" spans="1:9" x14ac:dyDescent="0.2">
      <c r="A41" t="s">
        <v>2946</v>
      </c>
      <c r="B41" t="s">
        <v>985</v>
      </c>
      <c r="C41" t="s">
        <v>56</v>
      </c>
      <c r="E41" s="9">
        <v>45823</v>
      </c>
      <c r="F41" t="s">
        <v>2900</v>
      </c>
      <c r="G41" t="s">
        <v>2904</v>
      </c>
      <c r="H41" t="s">
        <v>2908</v>
      </c>
    </row>
    <row r="42" spans="1:9" x14ac:dyDescent="0.2">
      <c r="A42" t="s">
        <v>2947</v>
      </c>
      <c r="B42" t="s">
        <v>996</v>
      </c>
      <c r="C42" t="s">
        <v>121</v>
      </c>
      <c r="D42" t="s">
        <v>498</v>
      </c>
      <c r="E42" s="9">
        <v>45765</v>
      </c>
      <c r="F42" t="s">
        <v>2923</v>
      </c>
      <c r="G42" t="s">
        <v>2918</v>
      </c>
      <c r="H42" t="s">
        <v>944</v>
      </c>
      <c r="I42">
        <v>18</v>
      </c>
    </row>
    <row r="43" spans="1:9" x14ac:dyDescent="0.2">
      <c r="A43" t="s">
        <v>2948</v>
      </c>
      <c r="B43" t="s">
        <v>958</v>
      </c>
      <c r="C43" t="s">
        <v>125</v>
      </c>
      <c r="E43" s="9">
        <v>45763</v>
      </c>
      <c r="F43" t="s">
        <v>2896</v>
      </c>
      <c r="G43" t="s">
        <v>2897</v>
      </c>
      <c r="H43" t="s">
        <v>2898</v>
      </c>
      <c r="I43">
        <v>10</v>
      </c>
    </row>
    <row r="44" spans="1:9" x14ac:dyDescent="0.2">
      <c r="A44" t="s">
        <v>2949</v>
      </c>
      <c r="B44" t="s">
        <v>971</v>
      </c>
      <c r="C44" t="s">
        <v>86</v>
      </c>
      <c r="D44" t="s">
        <v>666</v>
      </c>
      <c r="E44" s="9">
        <v>46145</v>
      </c>
      <c r="F44" t="s">
        <v>2950</v>
      </c>
      <c r="G44" t="s">
        <v>2901</v>
      </c>
      <c r="H44" t="s">
        <v>2898</v>
      </c>
      <c r="I44">
        <v>3</v>
      </c>
    </row>
    <row r="45" spans="1:9" x14ac:dyDescent="0.2">
      <c r="A45" t="s">
        <v>2951</v>
      </c>
      <c r="B45" t="s">
        <v>1031</v>
      </c>
      <c r="C45" t="s">
        <v>129</v>
      </c>
      <c r="E45" s="9">
        <v>45727</v>
      </c>
      <c r="F45" t="s">
        <v>2923</v>
      </c>
      <c r="G45" t="s">
        <v>2897</v>
      </c>
      <c r="H45" t="s">
        <v>2908</v>
      </c>
    </row>
    <row r="46" spans="1:9" x14ac:dyDescent="0.2">
      <c r="A46" t="s">
        <v>2952</v>
      </c>
      <c r="B46" t="s">
        <v>954</v>
      </c>
      <c r="C46" t="s">
        <v>118</v>
      </c>
      <c r="D46" t="s">
        <v>500</v>
      </c>
      <c r="E46" s="9">
        <v>45841</v>
      </c>
      <c r="F46" t="s">
        <v>2900</v>
      </c>
      <c r="G46" t="s">
        <v>2897</v>
      </c>
      <c r="H46" t="s">
        <v>2898</v>
      </c>
      <c r="I46">
        <v>17</v>
      </c>
    </row>
    <row r="47" spans="1:9" x14ac:dyDescent="0.2">
      <c r="A47" t="s">
        <v>2953</v>
      </c>
      <c r="B47" t="s">
        <v>968</v>
      </c>
      <c r="C47" t="s">
        <v>28</v>
      </c>
      <c r="E47" s="9">
        <v>46084</v>
      </c>
      <c r="F47" t="s">
        <v>2950</v>
      </c>
      <c r="G47" t="s">
        <v>2897</v>
      </c>
      <c r="H47" t="s">
        <v>2908</v>
      </c>
    </row>
    <row r="48" spans="1:9" x14ac:dyDescent="0.2">
      <c r="A48" t="s">
        <v>2954</v>
      </c>
      <c r="B48" t="s">
        <v>1059</v>
      </c>
      <c r="C48" t="s">
        <v>44</v>
      </c>
      <c r="E48" s="9">
        <v>45779</v>
      </c>
      <c r="F48" t="s">
        <v>2950</v>
      </c>
      <c r="G48" t="s">
        <v>2918</v>
      </c>
      <c r="H48" t="s">
        <v>2898</v>
      </c>
      <c r="I48">
        <v>12</v>
      </c>
    </row>
    <row r="49" spans="1:9" x14ac:dyDescent="0.2">
      <c r="A49" t="s">
        <v>2955</v>
      </c>
      <c r="B49" t="s">
        <v>901</v>
      </c>
      <c r="C49" t="s">
        <v>50</v>
      </c>
      <c r="E49" s="9">
        <v>46098</v>
      </c>
      <c r="F49" t="s">
        <v>2923</v>
      </c>
      <c r="G49" t="s">
        <v>2897</v>
      </c>
      <c r="H49" t="s">
        <v>944</v>
      </c>
      <c r="I49">
        <v>18</v>
      </c>
    </row>
    <row r="50" spans="1:9" x14ac:dyDescent="0.2">
      <c r="A50" t="s">
        <v>2956</v>
      </c>
      <c r="B50" t="s">
        <v>906</v>
      </c>
      <c r="C50" t="s">
        <v>99</v>
      </c>
      <c r="E50" s="9">
        <v>45849</v>
      </c>
      <c r="F50" t="s">
        <v>2896</v>
      </c>
      <c r="G50" t="s">
        <v>2904</v>
      </c>
      <c r="H50" t="s">
        <v>944</v>
      </c>
      <c r="I50">
        <v>21</v>
      </c>
    </row>
    <row r="51" spans="1:9" x14ac:dyDescent="0.2">
      <c r="A51" t="s">
        <v>2957</v>
      </c>
      <c r="B51" t="s">
        <v>1064</v>
      </c>
      <c r="C51" t="s">
        <v>71</v>
      </c>
      <c r="D51" t="s">
        <v>881</v>
      </c>
      <c r="E51" s="9">
        <v>45904</v>
      </c>
      <c r="F51" t="s">
        <v>2950</v>
      </c>
      <c r="G51" t="s">
        <v>2904</v>
      </c>
      <c r="H51" t="s">
        <v>2898</v>
      </c>
    </row>
    <row r="52" spans="1:9" x14ac:dyDescent="0.2">
      <c r="A52" t="s">
        <v>2958</v>
      </c>
      <c r="B52" t="s">
        <v>954</v>
      </c>
      <c r="C52" t="s">
        <v>118</v>
      </c>
      <c r="E52" s="9">
        <v>46098</v>
      </c>
      <c r="F52" t="s">
        <v>2900</v>
      </c>
      <c r="G52" t="s">
        <v>2904</v>
      </c>
      <c r="H52" t="s">
        <v>2898</v>
      </c>
      <c r="I52">
        <v>17</v>
      </c>
    </row>
    <row r="53" spans="1:9" x14ac:dyDescent="0.2">
      <c r="A53" t="s">
        <v>2959</v>
      </c>
      <c r="B53" t="s">
        <v>983</v>
      </c>
      <c r="C53" t="s">
        <v>33</v>
      </c>
      <c r="D53" t="s">
        <v>681</v>
      </c>
      <c r="E53" s="9">
        <v>45898</v>
      </c>
      <c r="F53" t="s">
        <v>2950</v>
      </c>
      <c r="G53" t="s">
        <v>2897</v>
      </c>
      <c r="H53" t="s">
        <v>2898</v>
      </c>
      <c r="I53">
        <v>3</v>
      </c>
    </row>
    <row r="54" spans="1:9" x14ac:dyDescent="0.2">
      <c r="A54" t="s">
        <v>2960</v>
      </c>
      <c r="B54" t="s">
        <v>979</v>
      </c>
      <c r="C54" t="s">
        <v>93</v>
      </c>
      <c r="E54" s="9">
        <v>46149</v>
      </c>
      <c r="F54" t="s">
        <v>2923</v>
      </c>
      <c r="G54" t="s">
        <v>2904</v>
      </c>
      <c r="H54" t="s">
        <v>2898</v>
      </c>
      <c r="I54">
        <v>18</v>
      </c>
    </row>
    <row r="55" spans="1:9" x14ac:dyDescent="0.2">
      <c r="A55" t="s">
        <v>2961</v>
      </c>
      <c r="B55" t="s">
        <v>1080</v>
      </c>
      <c r="C55" t="s">
        <v>25</v>
      </c>
      <c r="D55" t="s">
        <v>790</v>
      </c>
      <c r="E55" s="9">
        <v>46063</v>
      </c>
      <c r="F55" t="s">
        <v>2896</v>
      </c>
      <c r="G55" t="s">
        <v>2918</v>
      </c>
      <c r="H55" t="s">
        <v>944</v>
      </c>
      <c r="I55">
        <v>7</v>
      </c>
    </row>
    <row r="56" spans="1:9" x14ac:dyDescent="0.2">
      <c r="A56" t="s">
        <v>2962</v>
      </c>
      <c r="B56" t="s">
        <v>1072</v>
      </c>
      <c r="D56" t="s">
        <v>681</v>
      </c>
      <c r="E56" s="9">
        <v>45839</v>
      </c>
      <c r="F56" t="s">
        <v>2900</v>
      </c>
      <c r="G56" t="s">
        <v>2904</v>
      </c>
      <c r="H56" t="s">
        <v>2908</v>
      </c>
    </row>
    <row r="57" spans="1:9" x14ac:dyDescent="0.2">
      <c r="A57" t="s">
        <v>2963</v>
      </c>
      <c r="B57" t="s">
        <v>1042</v>
      </c>
      <c r="E57" s="9">
        <v>46169</v>
      </c>
      <c r="F57" t="s">
        <v>2903</v>
      </c>
      <c r="G57" t="s">
        <v>2901</v>
      </c>
      <c r="H57" t="s">
        <v>944</v>
      </c>
      <c r="I57">
        <v>16</v>
      </c>
    </row>
    <row r="58" spans="1:9" x14ac:dyDescent="0.2">
      <c r="A58" t="s">
        <v>2964</v>
      </c>
      <c r="B58" t="s">
        <v>1042</v>
      </c>
      <c r="C58" t="s">
        <v>116</v>
      </c>
      <c r="D58" t="s">
        <v>870</v>
      </c>
      <c r="E58" s="9">
        <v>45853</v>
      </c>
      <c r="F58" t="s">
        <v>2916</v>
      </c>
      <c r="G58" t="s">
        <v>2897</v>
      </c>
      <c r="H58" t="s">
        <v>944</v>
      </c>
      <c r="I58">
        <v>4</v>
      </c>
    </row>
    <row r="59" spans="1:9" x14ac:dyDescent="0.2">
      <c r="A59" t="s">
        <v>2965</v>
      </c>
      <c r="B59" t="s">
        <v>1042</v>
      </c>
      <c r="C59" t="s">
        <v>50</v>
      </c>
      <c r="E59" s="9">
        <v>45830</v>
      </c>
      <c r="F59" t="s">
        <v>2900</v>
      </c>
      <c r="G59" t="s">
        <v>2904</v>
      </c>
      <c r="H59" t="s">
        <v>2908</v>
      </c>
    </row>
    <row r="60" spans="1:9" x14ac:dyDescent="0.2">
      <c r="A60" t="s">
        <v>2966</v>
      </c>
      <c r="B60" t="s">
        <v>1049</v>
      </c>
      <c r="C60" t="s">
        <v>80</v>
      </c>
      <c r="D60" t="s">
        <v>352</v>
      </c>
      <c r="E60" s="9">
        <v>45721</v>
      </c>
      <c r="F60" t="s">
        <v>2900</v>
      </c>
      <c r="G60" t="s">
        <v>2897</v>
      </c>
      <c r="H60" t="s">
        <v>2898</v>
      </c>
      <c r="I60">
        <v>2</v>
      </c>
    </row>
    <row r="61" spans="1:9" x14ac:dyDescent="0.2">
      <c r="A61" t="s">
        <v>2967</v>
      </c>
      <c r="B61" t="s">
        <v>1064</v>
      </c>
      <c r="C61" t="s">
        <v>71</v>
      </c>
      <c r="D61" t="s">
        <v>881</v>
      </c>
      <c r="E61" s="9">
        <v>45931</v>
      </c>
      <c r="F61" t="s">
        <v>2916</v>
      </c>
      <c r="G61" t="s">
        <v>2904</v>
      </c>
      <c r="H61" t="s">
        <v>2898</v>
      </c>
    </row>
    <row r="62" spans="1:9" x14ac:dyDescent="0.2">
      <c r="A62" t="s">
        <v>2968</v>
      </c>
      <c r="B62" t="s">
        <v>1009</v>
      </c>
      <c r="C62" t="s">
        <v>14</v>
      </c>
      <c r="E62" s="9">
        <v>45914</v>
      </c>
      <c r="F62" t="s">
        <v>2950</v>
      </c>
      <c r="G62" t="s">
        <v>2904</v>
      </c>
      <c r="H62" t="s">
        <v>944</v>
      </c>
    </row>
    <row r="63" spans="1:9" x14ac:dyDescent="0.2">
      <c r="A63" t="s">
        <v>2969</v>
      </c>
      <c r="B63" t="s">
        <v>991</v>
      </c>
      <c r="C63" t="s">
        <v>50</v>
      </c>
      <c r="D63" t="s">
        <v>558</v>
      </c>
      <c r="E63" s="9">
        <v>46192</v>
      </c>
      <c r="F63" t="s">
        <v>2916</v>
      </c>
      <c r="G63" t="s">
        <v>2918</v>
      </c>
      <c r="H63" t="s">
        <v>944</v>
      </c>
    </row>
    <row r="64" spans="1:9" x14ac:dyDescent="0.2">
      <c r="A64" t="s">
        <v>2970</v>
      </c>
      <c r="B64" t="s">
        <v>985</v>
      </c>
      <c r="C64" t="s">
        <v>110</v>
      </c>
      <c r="D64" t="s">
        <v>358</v>
      </c>
      <c r="E64" s="9">
        <v>46085</v>
      </c>
      <c r="F64" t="s">
        <v>2900</v>
      </c>
      <c r="G64" t="s">
        <v>2904</v>
      </c>
      <c r="H64" t="s">
        <v>2912</v>
      </c>
    </row>
    <row r="65" spans="1:9" x14ac:dyDescent="0.2">
      <c r="A65" t="s">
        <v>2971</v>
      </c>
      <c r="B65" t="s">
        <v>939</v>
      </c>
      <c r="C65" t="s">
        <v>127</v>
      </c>
      <c r="D65" t="s">
        <v>258</v>
      </c>
      <c r="E65" s="9">
        <v>46033</v>
      </c>
      <c r="F65" t="s">
        <v>2916</v>
      </c>
      <c r="G65" t="s">
        <v>2901</v>
      </c>
      <c r="H65" t="s">
        <v>2912</v>
      </c>
    </row>
    <row r="66" spans="1:9" x14ac:dyDescent="0.2">
      <c r="A66" t="s">
        <v>2972</v>
      </c>
      <c r="B66" t="s">
        <v>1013</v>
      </c>
      <c r="D66" t="s">
        <v>889</v>
      </c>
      <c r="E66" s="9">
        <v>45918</v>
      </c>
      <c r="F66" t="s">
        <v>2923</v>
      </c>
      <c r="G66" t="s">
        <v>2904</v>
      </c>
      <c r="H66" t="s">
        <v>944</v>
      </c>
      <c r="I66">
        <v>10</v>
      </c>
    </row>
    <row r="67" spans="1:9" x14ac:dyDescent="0.2">
      <c r="A67" t="s">
        <v>2973</v>
      </c>
      <c r="B67" t="s">
        <v>1018</v>
      </c>
      <c r="C67" t="s">
        <v>58</v>
      </c>
      <c r="E67" s="9">
        <v>45769</v>
      </c>
      <c r="F67" t="s">
        <v>2923</v>
      </c>
      <c r="G67" t="s">
        <v>2918</v>
      </c>
      <c r="H67" t="s">
        <v>2898</v>
      </c>
      <c r="I67">
        <v>17</v>
      </c>
    </row>
    <row r="68" spans="1:9" x14ac:dyDescent="0.2">
      <c r="A68" t="s">
        <v>2974</v>
      </c>
      <c r="B68" t="s">
        <v>985</v>
      </c>
      <c r="C68" t="s">
        <v>105</v>
      </c>
      <c r="E68" s="9">
        <v>46033</v>
      </c>
      <c r="F68" t="s">
        <v>2923</v>
      </c>
      <c r="G68" t="s">
        <v>2904</v>
      </c>
      <c r="H68" t="s">
        <v>2908</v>
      </c>
    </row>
    <row r="69" spans="1:9" x14ac:dyDescent="0.2">
      <c r="A69" t="s">
        <v>2975</v>
      </c>
      <c r="B69" t="s">
        <v>939</v>
      </c>
      <c r="C69" t="s">
        <v>78</v>
      </c>
      <c r="D69" t="s">
        <v>273</v>
      </c>
      <c r="E69" s="9">
        <v>45819</v>
      </c>
      <c r="F69" t="s">
        <v>2916</v>
      </c>
      <c r="G69" t="s">
        <v>2918</v>
      </c>
      <c r="H69" t="s">
        <v>2898</v>
      </c>
      <c r="I69">
        <v>18</v>
      </c>
    </row>
    <row r="70" spans="1:9" x14ac:dyDescent="0.2">
      <c r="A70" t="s">
        <v>2976</v>
      </c>
      <c r="B70" t="s">
        <v>1069</v>
      </c>
      <c r="C70" t="s">
        <v>54</v>
      </c>
      <c r="D70" t="s">
        <v>529</v>
      </c>
      <c r="E70" s="9">
        <v>46023</v>
      </c>
      <c r="F70" t="s">
        <v>2916</v>
      </c>
      <c r="G70" t="s">
        <v>2904</v>
      </c>
      <c r="H70" t="s">
        <v>2912</v>
      </c>
    </row>
    <row r="71" spans="1:9" x14ac:dyDescent="0.2">
      <c r="A71" t="s">
        <v>2977</v>
      </c>
      <c r="B71" t="s">
        <v>962</v>
      </c>
      <c r="C71" t="s">
        <v>42</v>
      </c>
      <c r="D71" t="s">
        <v>411</v>
      </c>
      <c r="E71" s="9">
        <v>45848</v>
      </c>
      <c r="F71" t="s">
        <v>2950</v>
      </c>
      <c r="G71" t="s">
        <v>2918</v>
      </c>
      <c r="H71" t="s">
        <v>2908</v>
      </c>
    </row>
    <row r="72" spans="1:9" x14ac:dyDescent="0.2">
      <c r="A72" t="s">
        <v>2978</v>
      </c>
      <c r="B72" t="s">
        <v>1034</v>
      </c>
      <c r="C72" t="s">
        <v>65</v>
      </c>
      <c r="D72" t="s">
        <v>807</v>
      </c>
      <c r="E72" s="9">
        <v>46091</v>
      </c>
      <c r="F72" t="s">
        <v>2900</v>
      </c>
      <c r="G72" t="s">
        <v>2901</v>
      </c>
      <c r="H72" t="s">
        <v>2912</v>
      </c>
    </row>
    <row r="73" spans="1:9" x14ac:dyDescent="0.2">
      <c r="A73" t="s">
        <v>2979</v>
      </c>
      <c r="B73" t="s">
        <v>1001</v>
      </c>
      <c r="E73" s="9">
        <v>45764</v>
      </c>
      <c r="F73" t="s">
        <v>2923</v>
      </c>
      <c r="G73" t="s">
        <v>2904</v>
      </c>
      <c r="H73" t="s">
        <v>944</v>
      </c>
      <c r="I73">
        <v>4</v>
      </c>
    </row>
    <row r="74" spans="1:9" x14ac:dyDescent="0.2">
      <c r="A74" t="s">
        <v>2980</v>
      </c>
      <c r="B74" t="s">
        <v>952</v>
      </c>
      <c r="C74" t="s">
        <v>93</v>
      </c>
      <c r="D74" t="s">
        <v>414</v>
      </c>
      <c r="E74" s="9">
        <v>45813</v>
      </c>
      <c r="F74" t="s">
        <v>2923</v>
      </c>
      <c r="G74" t="s">
        <v>2918</v>
      </c>
      <c r="H74" t="s">
        <v>2898</v>
      </c>
      <c r="I74">
        <v>8</v>
      </c>
    </row>
    <row r="75" spans="1:9" x14ac:dyDescent="0.2">
      <c r="A75" t="s">
        <v>2981</v>
      </c>
      <c r="B75" t="s">
        <v>991</v>
      </c>
      <c r="C75" t="s">
        <v>82</v>
      </c>
      <c r="D75" t="s">
        <v>729</v>
      </c>
      <c r="E75" s="9">
        <v>45816</v>
      </c>
      <c r="F75" t="s">
        <v>2896</v>
      </c>
      <c r="G75" t="s">
        <v>2897</v>
      </c>
      <c r="H75" t="s">
        <v>944</v>
      </c>
      <c r="I75">
        <v>19</v>
      </c>
    </row>
    <row r="76" spans="1:9" x14ac:dyDescent="0.2">
      <c r="A76" t="s">
        <v>2982</v>
      </c>
      <c r="B76" t="s">
        <v>922</v>
      </c>
      <c r="C76" t="s">
        <v>48</v>
      </c>
      <c r="D76" t="s">
        <v>198</v>
      </c>
      <c r="E76" s="9">
        <v>45835</v>
      </c>
      <c r="F76" t="s">
        <v>2923</v>
      </c>
      <c r="G76" t="s">
        <v>2904</v>
      </c>
      <c r="H76" t="s">
        <v>944</v>
      </c>
      <c r="I76">
        <v>16</v>
      </c>
    </row>
    <row r="77" spans="1:9" x14ac:dyDescent="0.2">
      <c r="A77" t="s">
        <v>2983</v>
      </c>
      <c r="B77" t="s">
        <v>958</v>
      </c>
      <c r="C77" t="s">
        <v>86</v>
      </c>
      <c r="E77" s="9">
        <v>45769</v>
      </c>
      <c r="F77" t="s">
        <v>2896</v>
      </c>
      <c r="G77" t="s">
        <v>2901</v>
      </c>
      <c r="H77" t="s">
        <v>2898</v>
      </c>
      <c r="I77">
        <v>7</v>
      </c>
    </row>
    <row r="78" spans="1:9" x14ac:dyDescent="0.2">
      <c r="A78" t="s">
        <v>2984</v>
      </c>
      <c r="B78" t="s">
        <v>1061</v>
      </c>
      <c r="C78" t="s">
        <v>67</v>
      </c>
      <c r="E78" s="9">
        <v>45698</v>
      </c>
      <c r="F78" t="s">
        <v>2896</v>
      </c>
      <c r="G78" t="s">
        <v>2901</v>
      </c>
      <c r="H78" t="s">
        <v>2908</v>
      </c>
    </row>
    <row r="79" spans="1:9" x14ac:dyDescent="0.2">
      <c r="A79" t="s">
        <v>2985</v>
      </c>
      <c r="B79" t="s">
        <v>1059</v>
      </c>
      <c r="C79" t="s">
        <v>112</v>
      </c>
      <c r="E79" s="9">
        <v>45691</v>
      </c>
      <c r="F79" t="s">
        <v>2900</v>
      </c>
      <c r="G79" t="s">
        <v>2918</v>
      </c>
      <c r="H79" t="s">
        <v>2898</v>
      </c>
    </row>
    <row r="80" spans="1:9" x14ac:dyDescent="0.2">
      <c r="A80" t="s">
        <v>2986</v>
      </c>
      <c r="B80" t="s">
        <v>1042</v>
      </c>
      <c r="C80" t="s">
        <v>22</v>
      </c>
      <c r="E80" s="9">
        <v>45992</v>
      </c>
      <c r="F80" t="s">
        <v>2900</v>
      </c>
      <c r="G80" t="s">
        <v>2918</v>
      </c>
      <c r="H80" t="s">
        <v>2898</v>
      </c>
      <c r="I80">
        <v>17</v>
      </c>
    </row>
    <row r="81" spans="1:9" x14ac:dyDescent="0.2">
      <c r="A81" t="s">
        <v>2987</v>
      </c>
      <c r="B81" t="s">
        <v>948</v>
      </c>
      <c r="C81" t="s">
        <v>105</v>
      </c>
      <c r="D81" t="s">
        <v>707</v>
      </c>
      <c r="E81" s="9">
        <v>46011</v>
      </c>
      <c r="F81" t="s">
        <v>2916</v>
      </c>
      <c r="G81" t="s">
        <v>2901</v>
      </c>
      <c r="H81" t="s">
        <v>2898</v>
      </c>
      <c r="I81">
        <v>5</v>
      </c>
    </row>
    <row r="82" spans="1:9" x14ac:dyDescent="0.2">
      <c r="A82" t="s">
        <v>2988</v>
      </c>
      <c r="B82" t="s">
        <v>1064</v>
      </c>
      <c r="C82" t="s">
        <v>125</v>
      </c>
      <c r="D82" t="s">
        <v>519</v>
      </c>
      <c r="E82" s="9">
        <v>45908</v>
      </c>
      <c r="F82" t="s">
        <v>2923</v>
      </c>
      <c r="G82" t="s">
        <v>2918</v>
      </c>
      <c r="H82" t="s">
        <v>944</v>
      </c>
      <c r="I82">
        <v>15</v>
      </c>
    </row>
    <row r="83" spans="1:9" x14ac:dyDescent="0.2">
      <c r="A83" t="s">
        <v>2989</v>
      </c>
      <c r="B83" t="s">
        <v>1080</v>
      </c>
      <c r="C83" t="s">
        <v>86</v>
      </c>
      <c r="D83" t="s">
        <v>666</v>
      </c>
      <c r="E83" s="9">
        <v>45941</v>
      </c>
      <c r="F83" t="s">
        <v>2900</v>
      </c>
      <c r="G83" t="s">
        <v>2904</v>
      </c>
      <c r="H83" t="s">
        <v>2898</v>
      </c>
      <c r="I83">
        <v>8</v>
      </c>
    </row>
    <row r="84" spans="1:9" x14ac:dyDescent="0.2">
      <c r="A84" t="s">
        <v>2990</v>
      </c>
      <c r="B84" t="s">
        <v>1077</v>
      </c>
      <c r="C84" t="s">
        <v>123</v>
      </c>
      <c r="D84" t="s">
        <v>627</v>
      </c>
      <c r="E84" s="9">
        <v>45779</v>
      </c>
      <c r="F84" t="s">
        <v>2896</v>
      </c>
      <c r="G84" t="s">
        <v>2918</v>
      </c>
      <c r="H84" t="s">
        <v>944</v>
      </c>
      <c r="I84">
        <v>1</v>
      </c>
    </row>
    <row r="85" spans="1:9" x14ac:dyDescent="0.2">
      <c r="A85" t="s">
        <v>2991</v>
      </c>
      <c r="B85" t="s">
        <v>1040</v>
      </c>
      <c r="C85" t="s">
        <v>25</v>
      </c>
      <c r="E85" s="9">
        <v>46045</v>
      </c>
      <c r="F85" t="s">
        <v>2900</v>
      </c>
      <c r="G85" t="s">
        <v>2897</v>
      </c>
      <c r="H85" t="s">
        <v>2898</v>
      </c>
      <c r="I85">
        <v>13</v>
      </c>
    </row>
    <row r="86" spans="1:9" x14ac:dyDescent="0.2">
      <c r="A86" t="s">
        <v>2992</v>
      </c>
      <c r="B86" t="s">
        <v>942</v>
      </c>
      <c r="C86" t="s">
        <v>125</v>
      </c>
      <c r="E86" s="9">
        <v>45991</v>
      </c>
      <c r="F86" t="s">
        <v>2916</v>
      </c>
      <c r="G86" t="s">
        <v>2918</v>
      </c>
      <c r="H86" t="s">
        <v>2898</v>
      </c>
      <c r="I86">
        <v>4</v>
      </c>
    </row>
    <row r="87" spans="1:9" x14ac:dyDescent="0.2">
      <c r="A87" t="s">
        <v>2993</v>
      </c>
      <c r="B87" t="s">
        <v>914</v>
      </c>
      <c r="C87" t="s">
        <v>82</v>
      </c>
      <c r="E87" s="9">
        <v>46098</v>
      </c>
      <c r="F87" t="s">
        <v>2916</v>
      </c>
      <c r="G87" t="s">
        <v>2918</v>
      </c>
      <c r="H87" t="s">
        <v>2898</v>
      </c>
      <c r="I87">
        <v>10</v>
      </c>
    </row>
    <row r="88" spans="1:9" x14ac:dyDescent="0.2">
      <c r="A88" t="s">
        <v>2994</v>
      </c>
      <c r="B88" t="s">
        <v>991</v>
      </c>
      <c r="C88" t="s">
        <v>125</v>
      </c>
      <c r="E88" s="9">
        <v>45760</v>
      </c>
      <c r="F88" t="s">
        <v>2903</v>
      </c>
      <c r="G88" t="s">
        <v>2901</v>
      </c>
      <c r="H88" t="s">
        <v>2898</v>
      </c>
      <c r="I88">
        <v>21</v>
      </c>
    </row>
    <row r="89" spans="1:9" x14ac:dyDescent="0.2">
      <c r="A89" t="s">
        <v>2995</v>
      </c>
      <c r="B89" t="s">
        <v>945</v>
      </c>
      <c r="C89" t="s">
        <v>36</v>
      </c>
      <c r="E89" s="9">
        <v>45762</v>
      </c>
      <c r="F89" t="s">
        <v>2923</v>
      </c>
      <c r="G89" t="s">
        <v>2918</v>
      </c>
      <c r="H89" t="s">
        <v>2898</v>
      </c>
      <c r="I89">
        <v>8</v>
      </c>
    </row>
    <row r="90" spans="1:9" x14ac:dyDescent="0.2">
      <c r="A90" t="s">
        <v>2996</v>
      </c>
      <c r="B90" t="s">
        <v>925</v>
      </c>
      <c r="C90" t="s">
        <v>69</v>
      </c>
      <c r="D90" t="s">
        <v>837</v>
      </c>
      <c r="E90" s="9">
        <v>45794</v>
      </c>
      <c r="F90" t="s">
        <v>2923</v>
      </c>
      <c r="G90" t="s">
        <v>2901</v>
      </c>
      <c r="H90" t="s">
        <v>2908</v>
      </c>
    </row>
    <row r="91" spans="1:9" x14ac:dyDescent="0.2">
      <c r="A91" t="s">
        <v>2997</v>
      </c>
      <c r="B91" t="s">
        <v>1034</v>
      </c>
      <c r="C91" t="s">
        <v>17</v>
      </c>
      <c r="E91" s="9">
        <v>45713</v>
      </c>
      <c r="F91" t="s">
        <v>2900</v>
      </c>
      <c r="G91" t="s">
        <v>2904</v>
      </c>
      <c r="H91" t="s">
        <v>2912</v>
      </c>
    </row>
    <row r="92" spans="1:9" x14ac:dyDescent="0.2">
      <c r="A92" t="s">
        <v>2998</v>
      </c>
      <c r="B92" t="s">
        <v>945</v>
      </c>
      <c r="C92" t="s">
        <v>108</v>
      </c>
      <c r="D92" t="s">
        <v>821</v>
      </c>
      <c r="E92" s="9">
        <v>46122</v>
      </c>
      <c r="F92" t="s">
        <v>2900</v>
      </c>
      <c r="G92" t="s">
        <v>2904</v>
      </c>
      <c r="H92" t="s">
        <v>2898</v>
      </c>
      <c r="I92">
        <v>8</v>
      </c>
    </row>
    <row r="93" spans="1:9" x14ac:dyDescent="0.2">
      <c r="A93" t="s">
        <v>2999</v>
      </c>
      <c r="B93" t="s">
        <v>1055</v>
      </c>
      <c r="C93" t="s">
        <v>108</v>
      </c>
      <c r="D93" t="s">
        <v>821</v>
      </c>
      <c r="E93" s="9">
        <v>45923</v>
      </c>
      <c r="F93" t="s">
        <v>2923</v>
      </c>
      <c r="G93" t="s">
        <v>2901</v>
      </c>
      <c r="H93" t="s">
        <v>2898</v>
      </c>
      <c r="I93">
        <v>4</v>
      </c>
    </row>
    <row r="94" spans="1:9" x14ac:dyDescent="0.2">
      <c r="A94" t="s">
        <v>3000</v>
      </c>
      <c r="B94" t="s">
        <v>993</v>
      </c>
      <c r="C94" t="s">
        <v>80</v>
      </c>
      <c r="D94" t="s">
        <v>352</v>
      </c>
      <c r="E94" s="9">
        <v>45873</v>
      </c>
      <c r="F94" t="s">
        <v>2903</v>
      </c>
      <c r="G94" t="s">
        <v>2897</v>
      </c>
      <c r="H94" t="s">
        <v>2898</v>
      </c>
      <c r="I94">
        <v>13</v>
      </c>
    </row>
    <row r="95" spans="1:9" x14ac:dyDescent="0.2">
      <c r="A95" t="s">
        <v>3001</v>
      </c>
      <c r="B95" t="s">
        <v>1018</v>
      </c>
      <c r="C95" t="s">
        <v>17</v>
      </c>
      <c r="D95" t="s">
        <v>699</v>
      </c>
      <c r="E95" s="9">
        <v>46156</v>
      </c>
      <c r="F95" t="s">
        <v>2916</v>
      </c>
      <c r="G95" t="s">
        <v>2918</v>
      </c>
      <c r="H95" t="s">
        <v>2898</v>
      </c>
      <c r="I95">
        <v>15</v>
      </c>
    </row>
    <row r="96" spans="1:9" x14ac:dyDescent="0.2">
      <c r="A96" t="s">
        <v>3002</v>
      </c>
      <c r="B96" t="s">
        <v>1076</v>
      </c>
      <c r="C96" t="s">
        <v>123</v>
      </c>
      <c r="D96" t="s">
        <v>627</v>
      </c>
      <c r="E96" s="9">
        <v>45844</v>
      </c>
      <c r="F96" t="s">
        <v>2950</v>
      </c>
      <c r="G96" t="s">
        <v>2918</v>
      </c>
      <c r="H96" t="s">
        <v>2908</v>
      </c>
    </row>
    <row r="97" spans="1:9" x14ac:dyDescent="0.2">
      <c r="A97" t="s">
        <v>3003</v>
      </c>
      <c r="B97" t="s">
        <v>1046</v>
      </c>
      <c r="C97" t="s">
        <v>8</v>
      </c>
      <c r="D97" t="s">
        <v>473</v>
      </c>
      <c r="E97" s="9">
        <v>46026</v>
      </c>
      <c r="F97" t="s">
        <v>2900</v>
      </c>
      <c r="G97" t="s">
        <v>2918</v>
      </c>
      <c r="H97" t="s">
        <v>2908</v>
      </c>
    </row>
    <row r="98" spans="1:9" x14ac:dyDescent="0.2">
      <c r="A98" t="s">
        <v>3004</v>
      </c>
      <c r="B98" t="s">
        <v>1040</v>
      </c>
      <c r="C98" t="s">
        <v>52</v>
      </c>
      <c r="E98" s="9">
        <v>45783</v>
      </c>
      <c r="F98" t="s">
        <v>2903</v>
      </c>
      <c r="G98" t="s">
        <v>2918</v>
      </c>
      <c r="H98" t="s">
        <v>2898</v>
      </c>
      <c r="I98">
        <v>3</v>
      </c>
    </row>
    <row r="99" spans="1:9" x14ac:dyDescent="0.2">
      <c r="A99" t="s">
        <v>3005</v>
      </c>
      <c r="B99" t="s">
        <v>1027</v>
      </c>
      <c r="C99" t="s">
        <v>105</v>
      </c>
      <c r="D99" t="s">
        <v>212</v>
      </c>
      <c r="E99" s="9">
        <v>46139</v>
      </c>
      <c r="F99" t="s">
        <v>2916</v>
      </c>
      <c r="G99" t="s">
        <v>2904</v>
      </c>
      <c r="H99" t="s">
        <v>2908</v>
      </c>
    </row>
    <row r="100" spans="1:9" x14ac:dyDescent="0.2">
      <c r="A100" t="s">
        <v>3006</v>
      </c>
      <c r="B100" t="s">
        <v>1034</v>
      </c>
      <c r="C100" t="s">
        <v>8</v>
      </c>
      <c r="D100" t="s">
        <v>656</v>
      </c>
      <c r="E100" s="9">
        <v>46209</v>
      </c>
      <c r="F100" t="s">
        <v>2923</v>
      </c>
      <c r="G100" t="s">
        <v>2904</v>
      </c>
      <c r="H100" t="s">
        <v>2908</v>
      </c>
    </row>
    <row r="101" spans="1:9" x14ac:dyDescent="0.2">
      <c r="A101" t="s">
        <v>3007</v>
      </c>
      <c r="B101" t="s">
        <v>901</v>
      </c>
      <c r="C101" t="s">
        <v>8</v>
      </c>
      <c r="E101" s="9">
        <v>46211</v>
      </c>
      <c r="F101" t="s">
        <v>2950</v>
      </c>
      <c r="G101" t="s">
        <v>2918</v>
      </c>
      <c r="H101" t="s">
        <v>2908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4"/>
  <sheetViews>
    <sheetView zoomScale="182" workbookViewId="0"/>
  </sheetViews>
  <sheetFormatPr baseColWidth="10" defaultColWidth="8.83203125" defaultRowHeight="15" x14ac:dyDescent="0.2"/>
  <cols>
    <col min="1" max="1" width="12.6640625" bestFit="1" customWidth="1"/>
    <col min="2" max="2" width="10.83203125" bestFit="1" customWidth="1"/>
    <col min="3" max="3" width="22.83203125" bestFit="1" customWidth="1"/>
    <col min="4" max="4" width="11.1640625" bestFit="1" customWidth="1"/>
    <col min="5" max="5" width="11.5" bestFit="1" customWidth="1"/>
    <col min="6" max="6" width="16.5" bestFit="1" customWidth="1"/>
    <col min="7" max="7" width="16" bestFit="1" customWidth="1"/>
  </cols>
  <sheetData>
    <row r="1" spans="1:7" x14ac:dyDescent="0.2">
      <c r="A1" s="12" t="s">
        <v>3204</v>
      </c>
      <c r="B1" s="12" t="s">
        <v>131</v>
      </c>
      <c r="C1" s="12" t="s">
        <v>3008</v>
      </c>
      <c r="D1" s="13" t="s">
        <v>3009</v>
      </c>
      <c r="E1" s="13" t="s">
        <v>173</v>
      </c>
      <c r="F1" s="12" t="s">
        <v>178</v>
      </c>
      <c r="G1" s="12" t="s">
        <v>3010</v>
      </c>
    </row>
    <row r="2" spans="1:7" x14ac:dyDescent="0.2">
      <c r="A2" t="s">
        <v>3011</v>
      </c>
      <c r="B2" t="s">
        <v>138</v>
      </c>
      <c r="C2" t="s">
        <v>3019</v>
      </c>
      <c r="D2" s="9">
        <v>45873</v>
      </c>
      <c r="E2" s="9">
        <v>46120</v>
      </c>
      <c r="F2" t="s">
        <v>3014</v>
      </c>
      <c r="G2" t="s">
        <v>10</v>
      </c>
    </row>
    <row r="3" spans="1:7" x14ac:dyDescent="0.2">
      <c r="A3" t="s">
        <v>3013</v>
      </c>
      <c r="B3" t="s">
        <v>138</v>
      </c>
      <c r="C3" t="s">
        <v>3027</v>
      </c>
      <c r="D3" s="9">
        <v>45837</v>
      </c>
      <c r="E3" s="9">
        <v>46202</v>
      </c>
      <c r="F3" t="s">
        <v>3014</v>
      </c>
      <c r="G3" t="s">
        <v>10</v>
      </c>
    </row>
    <row r="4" spans="1:7" x14ac:dyDescent="0.2">
      <c r="A4" t="s">
        <v>3015</v>
      </c>
      <c r="B4" t="s">
        <v>138</v>
      </c>
      <c r="C4" t="s">
        <v>3029</v>
      </c>
      <c r="D4" s="9">
        <v>45286</v>
      </c>
      <c r="E4" s="9"/>
      <c r="F4" t="s">
        <v>3014</v>
      </c>
      <c r="G4" t="s">
        <v>10</v>
      </c>
    </row>
    <row r="5" spans="1:7" x14ac:dyDescent="0.2">
      <c r="A5" t="s">
        <v>3016</v>
      </c>
      <c r="B5" t="s">
        <v>138</v>
      </c>
      <c r="C5" t="s">
        <v>3129</v>
      </c>
      <c r="D5" s="9">
        <v>45550</v>
      </c>
      <c r="E5" s="9">
        <v>46280</v>
      </c>
      <c r="F5" t="s">
        <v>3012</v>
      </c>
      <c r="G5" t="s">
        <v>10</v>
      </c>
    </row>
    <row r="6" spans="1:7" x14ac:dyDescent="0.2">
      <c r="A6" t="s">
        <v>3017</v>
      </c>
      <c r="B6" t="s">
        <v>142</v>
      </c>
      <c r="C6" t="s">
        <v>3025</v>
      </c>
      <c r="D6" s="9">
        <v>45737</v>
      </c>
      <c r="E6" s="9">
        <v>46102</v>
      </c>
      <c r="F6" t="s">
        <v>3014</v>
      </c>
      <c r="G6" t="s">
        <v>107</v>
      </c>
    </row>
    <row r="7" spans="1:7" x14ac:dyDescent="0.2">
      <c r="A7" t="s">
        <v>3018</v>
      </c>
      <c r="B7" t="s">
        <v>142</v>
      </c>
      <c r="C7" t="s">
        <v>3019</v>
      </c>
      <c r="D7" s="9">
        <v>45092</v>
      </c>
      <c r="E7" s="9">
        <v>45457</v>
      </c>
      <c r="F7" t="s">
        <v>3014</v>
      </c>
      <c r="G7" t="s">
        <v>107</v>
      </c>
    </row>
    <row r="8" spans="1:7" x14ac:dyDescent="0.2">
      <c r="A8" t="s">
        <v>3020</v>
      </c>
      <c r="B8" t="s">
        <v>142</v>
      </c>
      <c r="C8" t="s">
        <v>3129</v>
      </c>
      <c r="D8" s="9">
        <v>45229</v>
      </c>
      <c r="E8" s="9">
        <v>45594</v>
      </c>
      <c r="G8" t="s">
        <v>107</v>
      </c>
    </row>
    <row r="9" spans="1:7" x14ac:dyDescent="0.2">
      <c r="A9" t="s">
        <v>3021</v>
      </c>
      <c r="B9" t="s">
        <v>142</v>
      </c>
      <c r="C9" t="s">
        <v>3029</v>
      </c>
      <c r="D9" s="9">
        <v>45245</v>
      </c>
      <c r="E9" s="9">
        <v>45610</v>
      </c>
      <c r="F9" t="s">
        <v>3014</v>
      </c>
      <c r="G9" t="s">
        <v>107</v>
      </c>
    </row>
    <row r="10" spans="1:7" x14ac:dyDescent="0.2">
      <c r="A10" t="s">
        <v>3022</v>
      </c>
      <c r="B10" t="s">
        <v>142</v>
      </c>
      <c r="C10" t="s">
        <v>3027</v>
      </c>
      <c r="D10" s="9">
        <v>45473</v>
      </c>
      <c r="E10" s="9">
        <v>46203</v>
      </c>
      <c r="F10" t="s">
        <v>3014</v>
      </c>
      <c r="G10" t="s">
        <v>107</v>
      </c>
    </row>
    <row r="11" spans="1:7" x14ac:dyDescent="0.2">
      <c r="A11" t="s">
        <v>3023</v>
      </c>
      <c r="B11" t="s">
        <v>145</v>
      </c>
      <c r="C11" t="s">
        <v>3019</v>
      </c>
      <c r="D11" s="9">
        <v>45524</v>
      </c>
      <c r="E11" s="9">
        <v>45889</v>
      </c>
      <c r="G11" t="s">
        <v>107</v>
      </c>
    </row>
    <row r="12" spans="1:7" x14ac:dyDescent="0.2">
      <c r="A12" t="s">
        <v>3024</v>
      </c>
      <c r="B12" t="s">
        <v>145</v>
      </c>
      <c r="C12" t="s">
        <v>3025</v>
      </c>
      <c r="D12" s="9">
        <v>45579</v>
      </c>
      <c r="E12" s="9">
        <v>45698</v>
      </c>
      <c r="F12" t="s">
        <v>3014</v>
      </c>
      <c r="G12" t="s">
        <v>107</v>
      </c>
    </row>
    <row r="13" spans="1:7" x14ac:dyDescent="0.2">
      <c r="A13" t="s">
        <v>3026</v>
      </c>
      <c r="B13" t="s">
        <v>145</v>
      </c>
      <c r="C13" t="s">
        <v>3027</v>
      </c>
      <c r="D13" s="9">
        <v>45225</v>
      </c>
      <c r="E13" s="9">
        <v>45955</v>
      </c>
      <c r="F13" t="s">
        <v>3014</v>
      </c>
      <c r="G13" t="s">
        <v>107</v>
      </c>
    </row>
    <row r="14" spans="1:7" x14ac:dyDescent="0.2">
      <c r="A14" t="s">
        <v>3028</v>
      </c>
      <c r="B14" t="s">
        <v>145</v>
      </c>
      <c r="C14" t="s">
        <v>3029</v>
      </c>
      <c r="D14" s="9">
        <v>45892</v>
      </c>
      <c r="E14" s="9">
        <v>46257</v>
      </c>
      <c r="F14" t="s">
        <v>3012</v>
      </c>
      <c r="G14" t="s">
        <v>107</v>
      </c>
    </row>
    <row r="15" spans="1:7" x14ac:dyDescent="0.2">
      <c r="A15" t="s">
        <v>3030</v>
      </c>
      <c r="B15" t="s">
        <v>145</v>
      </c>
      <c r="C15" t="s">
        <v>3129</v>
      </c>
      <c r="D15" s="9">
        <v>45137</v>
      </c>
      <c r="E15" s="9">
        <v>45502</v>
      </c>
      <c r="F15" t="s">
        <v>3014</v>
      </c>
      <c r="G15" t="s">
        <v>107</v>
      </c>
    </row>
    <row r="16" spans="1:7" x14ac:dyDescent="0.2">
      <c r="A16" t="s">
        <v>3031</v>
      </c>
      <c r="B16" t="s">
        <v>147</v>
      </c>
      <c r="C16" t="s">
        <v>3027</v>
      </c>
      <c r="D16" s="9">
        <v>46025</v>
      </c>
      <c r="E16" s="9">
        <v>46390</v>
      </c>
      <c r="F16" t="s">
        <v>3012</v>
      </c>
      <c r="G16" t="s">
        <v>120</v>
      </c>
    </row>
    <row r="17" spans="1:7" x14ac:dyDescent="0.2">
      <c r="A17" t="s">
        <v>3032</v>
      </c>
      <c r="B17" t="s">
        <v>147</v>
      </c>
      <c r="C17" t="s">
        <v>3129</v>
      </c>
      <c r="D17" s="9">
        <v>45545</v>
      </c>
      <c r="E17" s="9">
        <v>46275</v>
      </c>
      <c r="F17" t="s">
        <v>3012</v>
      </c>
      <c r="G17" t="s">
        <v>120</v>
      </c>
    </row>
    <row r="18" spans="1:7" x14ac:dyDescent="0.2">
      <c r="A18" t="s">
        <v>3033</v>
      </c>
      <c r="B18" t="s">
        <v>147</v>
      </c>
      <c r="C18" t="s">
        <v>3025</v>
      </c>
      <c r="D18" s="9">
        <v>45901</v>
      </c>
      <c r="E18" s="9">
        <v>46266</v>
      </c>
      <c r="F18" t="s">
        <v>3012</v>
      </c>
      <c r="G18" t="s">
        <v>120</v>
      </c>
    </row>
    <row r="19" spans="1:7" x14ac:dyDescent="0.2">
      <c r="A19" t="s">
        <v>3034</v>
      </c>
      <c r="B19" t="s">
        <v>147</v>
      </c>
      <c r="C19" t="s">
        <v>3029</v>
      </c>
      <c r="D19" s="9">
        <v>45735</v>
      </c>
      <c r="E19" s="9">
        <v>46100</v>
      </c>
      <c r="F19" t="s">
        <v>3014</v>
      </c>
      <c r="G19" t="s">
        <v>120</v>
      </c>
    </row>
    <row r="20" spans="1:7" x14ac:dyDescent="0.2">
      <c r="A20" t="s">
        <v>3035</v>
      </c>
      <c r="B20" t="s">
        <v>147</v>
      </c>
      <c r="C20" t="s">
        <v>3019</v>
      </c>
      <c r="D20" s="9">
        <v>45648</v>
      </c>
      <c r="E20" s="9">
        <v>46013</v>
      </c>
      <c r="F20" t="s">
        <v>3014</v>
      </c>
      <c r="G20" t="s">
        <v>120</v>
      </c>
    </row>
    <row r="21" spans="1:7" x14ac:dyDescent="0.2">
      <c r="A21" t="s">
        <v>3036</v>
      </c>
      <c r="B21" t="s">
        <v>150</v>
      </c>
      <c r="C21" t="s">
        <v>3029</v>
      </c>
      <c r="D21" s="9">
        <v>45530</v>
      </c>
      <c r="E21" s="9">
        <v>45895</v>
      </c>
      <c r="F21" t="s">
        <v>3014</v>
      </c>
      <c r="G21" t="s">
        <v>32</v>
      </c>
    </row>
    <row r="22" spans="1:7" x14ac:dyDescent="0.2">
      <c r="A22" t="s">
        <v>3037</v>
      </c>
      <c r="B22" t="s">
        <v>150</v>
      </c>
      <c r="C22" t="s">
        <v>3129</v>
      </c>
      <c r="D22" s="9">
        <v>45252</v>
      </c>
      <c r="E22" s="9">
        <v>45617</v>
      </c>
      <c r="F22" t="s">
        <v>3014</v>
      </c>
      <c r="G22" t="s">
        <v>32</v>
      </c>
    </row>
    <row r="23" spans="1:7" x14ac:dyDescent="0.2">
      <c r="A23" t="s">
        <v>3038</v>
      </c>
      <c r="B23" t="s">
        <v>150</v>
      </c>
      <c r="C23" t="s">
        <v>3019</v>
      </c>
      <c r="D23" s="9">
        <v>45755</v>
      </c>
      <c r="E23" s="9"/>
      <c r="F23" t="s">
        <v>3012</v>
      </c>
      <c r="G23" t="s">
        <v>32</v>
      </c>
    </row>
    <row r="24" spans="1:7" x14ac:dyDescent="0.2">
      <c r="A24" t="s">
        <v>3039</v>
      </c>
      <c r="B24" t="s">
        <v>152</v>
      </c>
      <c r="C24" t="s">
        <v>3019</v>
      </c>
      <c r="D24" s="9">
        <v>45110</v>
      </c>
      <c r="E24" s="9">
        <v>45840</v>
      </c>
      <c r="F24" t="s">
        <v>3014</v>
      </c>
      <c r="G24" t="s">
        <v>107</v>
      </c>
    </row>
    <row r="25" spans="1:7" x14ac:dyDescent="0.2">
      <c r="A25" t="s">
        <v>3040</v>
      </c>
      <c r="B25" t="s">
        <v>152</v>
      </c>
      <c r="C25" t="s">
        <v>3029</v>
      </c>
      <c r="D25" s="9">
        <v>45890</v>
      </c>
      <c r="E25" s="9">
        <v>46255</v>
      </c>
      <c r="F25" t="s">
        <v>3012</v>
      </c>
      <c r="G25" t="s">
        <v>107</v>
      </c>
    </row>
    <row r="26" spans="1:7" x14ac:dyDescent="0.2">
      <c r="A26" t="s">
        <v>3041</v>
      </c>
      <c r="B26" t="s">
        <v>152</v>
      </c>
      <c r="C26" t="s">
        <v>3129</v>
      </c>
      <c r="D26" s="9">
        <v>45091</v>
      </c>
      <c r="E26" s="9">
        <v>45456</v>
      </c>
      <c r="F26" t="s">
        <v>3014</v>
      </c>
      <c r="G26" t="s">
        <v>107</v>
      </c>
    </row>
    <row r="27" spans="1:7" x14ac:dyDescent="0.2">
      <c r="A27" t="s">
        <v>3042</v>
      </c>
      <c r="B27" t="s">
        <v>152</v>
      </c>
      <c r="C27" t="s">
        <v>3025</v>
      </c>
      <c r="D27" s="9">
        <v>45543</v>
      </c>
      <c r="E27" s="9">
        <v>45698</v>
      </c>
      <c r="F27" t="s">
        <v>3014</v>
      </c>
      <c r="G27" t="s">
        <v>107</v>
      </c>
    </row>
    <row r="28" spans="1:7" x14ac:dyDescent="0.2">
      <c r="A28" t="s">
        <v>3043</v>
      </c>
      <c r="B28" t="s">
        <v>154</v>
      </c>
      <c r="C28" t="s">
        <v>3029</v>
      </c>
      <c r="D28" s="9">
        <v>46002</v>
      </c>
      <c r="E28" s="9">
        <v>46338</v>
      </c>
      <c r="F28" t="s">
        <v>3012</v>
      </c>
      <c r="G28" t="s">
        <v>10</v>
      </c>
    </row>
    <row r="29" spans="1:7" x14ac:dyDescent="0.2">
      <c r="A29" t="s">
        <v>3044</v>
      </c>
      <c r="B29" t="s">
        <v>154</v>
      </c>
      <c r="C29" t="s">
        <v>3025</v>
      </c>
      <c r="D29" s="9">
        <v>46011</v>
      </c>
      <c r="E29" s="9">
        <v>46376</v>
      </c>
      <c r="F29" t="s">
        <v>3012</v>
      </c>
      <c r="G29" t="s">
        <v>10</v>
      </c>
    </row>
    <row r="30" spans="1:7" x14ac:dyDescent="0.2">
      <c r="A30" t="s">
        <v>3045</v>
      </c>
      <c r="B30" t="s">
        <v>154</v>
      </c>
      <c r="C30" t="s">
        <v>3019</v>
      </c>
      <c r="D30" s="9">
        <v>45960</v>
      </c>
      <c r="E30" s="9">
        <v>46325</v>
      </c>
      <c r="F30" t="s">
        <v>3012</v>
      </c>
      <c r="G30" t="s">
        <v>10</v>
      </c>
    </row>
    <row r="31" spans="1:7" x14ac:dyDescent="0.2">
      <c r="A31" t="s">
        <v>3046</v>
      </c>
      <c r="B31" t="s">
        <v>154</v>
      </c>
      <c r="C31" t="s">
        <v>3129</v>
      </c>
      <c r="D31" s="9">
        <v>45140</v>
      </c>
      <c r="E31" s="9">
        <v>45505</v>
      </c>
      <c r="F31" t="s">
        <v>3014</v>
      </c>
      <c r="G31" t="s">
        <v>10</v>
      </c>
    </row>
    <row r="32" spans="1:7" x14ac:dyDescent="0.2">
      <c r="A32" t="s">
        <v>3047</v>
      </c>
      <c r="B32" t="s">
        <v>156</v>
      </c>
      <c r="C32" t="s">
        <v>3019</v>
      </c>
      <c r="D32" s="9">
        <v>45595</v>
      </c>
      <c r="E32" s="9">
        <v>46325</v>
      </c>
      <c r="F32" t="s">
        <v>3012</v>
      </c>
      <c r="G32" t="s">
        <v>46</v>
      </c>
    </row>
    <row r="33" spans="1:7" x14ac:dyDescent="0.2">
      <c r="A33" t="s">
        <v>3048</v>
      </c>
      <c r="B33" t="s">
        <v>156</v>
      </c>
      <c r="C33" t="s">
        <v>3027</v>
      </c>
      <c r="D33" s="9">
        <v>45158</v>
      </c>
      <c r="E33" s="9">
        <v>45523</v>
      </c>
      <c r="F33" t="s">
        <v>3014</v>
      </c>
      <c r="G33" t="s">
        <v>46</v>
      </c>
    </row>
    <row r="34" spans="1:7" x14ac:dyDescent="0.2">
      <c r="A34" t="s">
        <v>3049</v>
      </c>
      <c r="B34" t="s">
        <v>156</v>
      </c>
      <c r="C34" t="s">
        <v>3129</v>
      </c>
      <c r="D34" s="9">
        <v>45801</v>
      </c>
      <c r="E34" s="9"/>
      <c r="F34" t="s">
        <v>3014</v>
      </c>
      <c r="G34" t="s">
        <v>46</v>
      </c>
    </row>
    <row r="35" spans="1:7" x14ac:dyDescent="0.2">
      <c r="A35" t="s">
        <v>3050</v>
      </c>
      <c r="B35" t="s">
        <v>158</v>
      </c>
      <c r="C35" t="s">
        <v>3025</v>
      </c>
      <c r="D35" s="9">
        <v>46040</v>
      </c>
      <c r="E35" s="9">
        <v>46405</v>
      </c>
      <c r="F35" t="s">
        <v>3012</v>
      </c>
      <c r="G35" t="s">
        <v>10</v>
      </c>
    </row>
    <row r="36" spans="1:7" x14ac:dyDescent="0.2">
      <c r="A36" t="s">
        <v>3051</v>
      </c>
      <c r="B36" t="s">
        <v>158</v>
      </c>
      <c r="C36" t="s">
        <v>3029</v>
      </c>
      <c r="D36" s="9">
        <v>45506</v>
      </c>
      <c r="E36" s="9">
        <v>46236</v>
      </c>
      <c r="F36" t="s">
        <v>3012</v>
      </c>
      <c r="G36" t="s">
        <v>10</v>
      </c>
    </row>
    <row r="37" spans="1:7" x14ac:dyDescent="0.2">
      <c r="A37" t="s">
        <v>3052</v>
      </c>
      <c r="B37" t="s">
        <v>158</v>
      </c>
      <c r="C37" t="s">
        <v>3129</v>
      </c>
      <c r="D37" s="9">
        <v>45117</v>
      </c>
      <c r="E37" s="9">
        <v>45698</v>
      </c>
      <c r="F37" t="s">
        <v>3014</v>
      </c>
      <c r="G37" t="s">
        <v>10</v>
      </c>
    </row>
    <row r="38" spans="1:7" x14ac:dyDescent="0.2">
      <c r="A38" t="s">
        <v>3053</v>
      </c>
      <c r="B38" t="s">
        <v>158</v>
      </c>
      <c r="C38" t="s">
        <v>3027</v>
      </c>
      <c r="D38" s="9">
        <v>45602</v>
      </c>
      <c r="E38" s="9"/>
      <c r="F38" t="s">
        <v>3012</v>
      </c>
      <c r="G38" t="s">
        <v>10</v>
      </c>
    </row>
    <row r="39" spans="1:7" x14ac:dyDescent="0.2">
      <c r="A39" t="s">
        <v>3054</v>
      </c>
      <c r="B39" t="s">
        <v>158</v>
      </c>
      <c r="C39" t="s">
        <v>3019</v>
      </c>
      <c r="D39" s="9">
        <v>45507</v>
      </c>
      <c r="E39" s="9"/>
      <c r="G39" t="s">
        <v>10</v>
      </c>
    </row>
    <row r="40" spans="1:7" x14ac:dyDescent="0.2">
      <c r="A40" t="s">
        <v>3055</v>
      </c>
      <c r="B40" t="s">
        <v>160</v>
      </c>
      <c r="C40" t="s">
        <v>3019</v>
      </c>
      <c r="D40" s="9">
        <v>45369</v>
      </c>
      <c r="E40" s="9">
        <v>46099</v>
      </c>
      <c r="F40" t="s">
        <v>3014</v>
      </c>
      <c r="G40" t="s">
        <v>32</v>
      </c>
    </row>
    <row r="41" spans="1:7" x14ac:dyDescent="0.2">
      <c r="A41" t="s">
        <v>3056</v>
      </c>
      <c r="B41" t="s">
        <v>160</v>
      </c>
      <c r="C41" t="s">
        <v>3027</v>
      </c>
      <c r="D41" s="9">
        <v>45367</v>
      </c>
      <c r="E41" s="9">
        <v>46097</v>
      </c>
      <c r="G41" t="s">
        <v>32</v>
      </c>
    </row>
    <row r="42" spans="1:7" x14ac:dyDescent="0.2">
      <c r="A42" t="s">
        <v>3057</v>
      </c>
      <c r="B42" t="s">
        <v>160</v>
      </c>
      <c r="C42" t="s">
        <v>3029</v>
      </c>
      <c r="D42" s="9">
        <v>45951</v>
      </c>
      <c r="E42" s="9"/>
      <c r="F42" t="s">
        <v>3012</v>
      </c>
      <c r="G42" t="s">
        <v>32</v>
      </c>
    </row>
    <row r="43" spans="1:7" x14ac:dyDescent="0.2">
      <c r="A43" t="s">
        <v>3058</v>
      </c>
      <c r="B43" t="s">
        <v>160</v>
      </c>
      <c r="C43" t="s">
        <v>3129</v>
      </c>
      <c r="D43" s="9">
        <v>45500</v>
      </c>
      <c r="E43" s="9"/>
      <c r="F43" t="s">
        <v>3014</v>
      </c>
      <c r="G43" t="s">
        <v>32</v>
      </c>
    </row>
    <row r="44" spans="1:7" x14ac:dyDescent="0.2">
      <c r="A44" t="s">
        <v>3059</v>
      </c>
      <c r="B44" t="s">
        <v>160</v>
      </c>
      <c r="C44" t="s">
        <v>3025</v>
      </c>
      <c r="D44" s="9">
        <v>45281</v>
      </c>
      <c r="E44" s="9">
        <v>45646</v>
      </c>
      <c r="F44" t="s">
        <v>3014</v>
      </c>
      <c r="G44" t="s">
        <v>32</v>
      </c>
    </row>
    <row r="45" spans="1:7" x14ac:dyDescent="0.2">
      <c r="A45" t="s">
        <v>3060</v>
      </c>
      <c r="B45" t="s">
        <v>162</v>
      </c>
      <c r="C45" t="s">
        <v>3029</v>
      </c>
      <c r="D45" s="9">
        <v>46081</v>
      </c>
      <c r="E45" s="9">
        <v>46446</v>
      </c>
      <c r="F45" t="s">
        <v>3012</v>
      </c>
      <c r="G45" t="s">
        <v>32</v>
      </c>
    </row>
    <row r="46" spans="1:7" x14ac:dyDescent="0.2">
      <c r="A46" t="s">
        <v>3061</v>
      </c>
      <c r="B46" t="s">
        <v>162</v>
      </c>
      <c r="C46" t="s">
        <v>3019</v>
      </c>
      <c r="D46" s="9">
        <v>45343</v>
      </c>
      <c r="E46" s="9">
        <v>45708</v>
      </c>
      <c r="F46" t="s">
        <v>3014</v>
      </c>
      <c r="G46" t="s">
        <v>32</v>
      </c>
    </row>
    <row r="47" spans="1:7" x14ac:dyDescent="0.2">
      <c r="A47" t="s">
        <v>3062</v>
      </c>
      <c r="B47" t="s">
        <v>162</v>
      </c>
      <c r="C47" t="s">
        <v>3027</v>
      </c>
      <c r="D47" s="9">
        <v>45913</v>
      </c>
      <c r="E47" s="9">
        <v>46643</v>
      </c>
      <c r="F47" t="s">
        <v>3012</v>
      </c>
      <c r="G47" t="s">
        <v>32</v>
      </c>
    </row>
    <row r="48" spans="1:7" x14ac:dyDescent="0.2">
      <c r="A48" t="s">
        <v>3063</v>
      </c>
      <c r="B48" t="s">
        <v>162</v>
      </c>
      <c r="C48" t="s">
        <v>3025</v>
      </c>
      <c r="D48" s="9">
        <v>45410</v>
      </c>
      <c r="E48" s="9">
        <v>46140</v>
      </c>
      <c r="F48" t="s">
        <v>3014</v>
      </c>
      <c r="G48" t="s">
        <v>32</v>
      </c>
    </row>
    <row r="49" spans="1:7" x14ac:dyDescent="0.2">
      <c r="A49" t="s">
        <v>3064</v>
      </c>
      <c r="B49" t="s">
        <v>164</v>
      </c>
      <c r="C49" t="s">
        <v>3029</v>
      </c>
      <c r="D49" s="9">
        <v>45989</v>
      </c>
      <c r="E49" s="9">
        <v>46719</v>
      </c>
      <c r="F49" t="s">
        <v>3012</v>
      </c>
      <c r="G49" t="s">
        <v>92</v>
      </c>
    </row>
    <row r="50" spans="1:7" x14ac:dyDescent="0.2">
      <c r="A50" t="s">
        <v>3065</v>
      </c>
      <c r="B50" t="s">
        <v>164</v>
      </c>
      <c r="C50" t="s">
        <v>3129</v>
      </c>
      <c r="D50" s="9">
        <v>45704</v>
      </c>
      <c r="E50" s="9">
        <v>46069</v>
      </c>
      <c r="F50" t="s">
        <v>3014</v>
      </c>
      <c r="G50" t="s">
        <v>92</v>
      </c>
    </row>
    <row r="51" spans="1:7" x14ac:dyDescent="0.2">
      <c r="A51" t="s">
        <v>3066</v>
      </c>
      <c r="B51" t="s">
        <v>164</v>
      </c>
      <c r="C51" t="s">
        <v>3025</v>
      </c>
      <c r="D51" s="9">
        <v>45173</v>
      </c>
      <c r="E51" s="9">
        <v>45538</v>
      </c>
      <c r="F51" t="s">
        <v>3014</v>
      </c>
      <c r="G51" t="s">
        <v>92</v>
      </c>
    </row>
    <row r="52" spans="1:7" x14ac:dyDescent="0.2">
      <c r="A52" t="s">
        <v>3067</v>
      </c>
      <c r="B52" t="s">
        <v>164</v>
      </c>
      <c r="C52" t="s">
        <v>3019</v>
      </c>
      <c r="D52" s="9">
        <v>45449</v>
      </c>
      <c r="E52" s="9">
        <v>45814</v>
      </c>
      <c r="F52" t="s">
        <v>3014</v>
      </c>
      <c r="G52" t="s">
        <v>92</v>
      </c>
    </row>
    <row r="53" spans="1:7" x14ac:dyDescent="0.2">
      <c r="A53" t="s">
        <v>3068</v>
      </c>
      <c r="B53" t="s">
        <v>164</v>
      </c>
      <c r="C53" t="s">
        <v>3027</v>
      </c>
      <c r="D53" s="9">
        <v>45116</v>
      </c>
      <c r="E53" s="9">
        <v>45481</v>
      </c>
      <c r="G53" t="s">
        <v>92</v>
      </c>
    </row>
    <row r="54" spans="1:7" x14ac:dyDescent="0.2">
      <c r="A54" t="s">
        <v>3069</v>
      </c>
      <c r="B54" t="s">
        <v>166</v>
      </c>
      <c r="C54" t="s">
        <v>3025</v>
      </c>
      <c r="D54" s="9">
        <v>45711</v>
      </c>
      <c r="E54" s="9">
        <v>46076</v>
      </c>
      <c r="F54" t="s">
        <v>3014</v>
      </c>
      <c r="G54" t="s">
        <v>46</v>
      </c>
    </row>
    <row r="55" spans="1:7" x14ac:dyDescent="0.2">
      <c r="A55" t="s">
        <v>3070</v>
      </c>
      <c r="B55" t="s">
        <v>166</v>
      </c>
      <c r="C55" t="s">
        <v>3029</v>
      </c>
      <c r="D55" s="9">
        <v>45824</v>
      </c>
      <c r="E55" s="9">
        <v>46554</v>
      </c>
      <c r="F55" t="s">
        <v>3012</v>
      </c>
      <c r="G55" t="s">
        <v>46</v>
      </c>
    </row>
    <row r="56" spans="1:7" x14ac:dyDescent="0.2">
      <c r="A56" t="s">
        <v>3071</v>
      </c>
      <c r="B56" t="s">
        <v>166</v>
      </c>
      <c r="C56" t="s">
        <v>3129</v>
      </c>
      <c r="D56" s="9">
        <v>45989</v>
      </c>
      <c r="E56" s="9">
        <v>46354</v>
      </c>
      <c r="F56" t="s">
        <v>3012</v>
      </c>
      <c r="G56" t="s">
        <v>46</v>
      </c>
    </row>
    <row r="57" spans="1:7" x14ac:dyDescent="0.2">
      <c r="A57" t="s">
        <v>3072</v>
      </c>
      <c r="B57" t="s">
        <v>166</v>
      </c>
      <c r="C57" t="s">
        <v>3027</v>
      </c>
      <c r="D57" s="9">
        <v>45535</v>
      </c>
      <c r="E57" s="9">
        <v>45900</v>
      </c>
      <c r="F57" t="s">
        <v>3014</v>
      </c>
      <c r="G57" t="s">
        <v>46</v>
      </c>
    </row>
    <row r="58" spans="1:7" x14ac:dyDescent="0.2">
      <c r="A58" t="s">
        <v>3073</v>
      </c>
      <c r="B58" t="s">
        <v>166</v>
      </c>
      <c r="C58" t="s">
        <v>3019</v>
      </c>
      <c r="D58" s="9">
        <v>45291</v>
      </c>
      <c r="E58" s="9">
        <v>45656</v>
      </c>
      <c r="F58" t="s">
        <v>3014</v>
      </c>
      <c r="G58" t="s">
        <v>46</v>
      </c>
    </row>
    <row r="59" spans="1:7" x14ac:dyDescent="0.2">
      <c r="A59" t="s">
        <v>3074</v>
      </c>
      <c r="B59" t="s">
        <v>168</v>
      </c>
      <c r="C59" t="s">
        <v>3025</v>
      </c>
      <c r="D59" s="9">
        <v>45449</v>
      </c>
      <c r="E59" s="9">
        <v>45814</v>
      </c>
      <c r="F59" t="s">
        <v>3014</v>
      </c>
      <c r="G59" t="s">
        <v>120</v>
      </c>
    </row>
    <row r="60" spans="1:7" x14ac:dyDescent="0.2">
      <c r="A60" t="s">
        <v>3075</v>
      </c>
      <c r="B60" t="s">
        <v>168</v>
      </c>
      <c r="C60" t="s">
        <v>3029</v>
      </c>
      <c r="D60" s="9">
        <v>45478</v>
      </c>
      <c r="E60" s="9">
        <v>45843</v>
      </c>
      <c r="F60" t="s">
        <v>3014</v>
      </c>
      <c r="G60" t="s">
        <v>120</v>
      </c>
    </row>
    <row r="61" spans="1:7" x14ac:dyDescent="0.2">
      <c r="A61" t="s">
        <v>3076</v>
      </c>
      <c r="B61" t="s">
        <v>168</v>
      </c>
      <c r="C61" t="s">
        <v>3019</v>
      </c>
      <c r="D61" s="9">
        <v>45543</v>
      </c>
      <c r="E61" s="9">
        <v>45908</v>
      </c>
      <c r="F61" t="s">
        <v>3014</v>
      </c>
      <c r="G61" t="s">
        <v>120</v>
      </c>
    </row>
    <row r="62" spans="1:7" x14ac:dyDescent="0.2">
      <c r="A62" t="s">
        <v>3077</v>
      </c>
      <c r="B62" t="s">
        <v>168</v>
      </c>
      <c r="C62" t="s">
        <v>3027</v>
      </c>
      <c r="D62" s="9">
        <v>46059</v>
      </c>
      <c r="E62" s="9">
        <v>46789</v>
      </c>
      <c r="F62" t="s">
        <v>3012</v>
      </c>
      <c r="G62" t="s">
        <v>120</v>
      </c>
    </row>
    <row r="63" spans="1:7" x14ac:dyDescent="0.2">
      <c r="A63" t="s">
        <v>3078</v>
      </c>
      <c r="B63" t="s">
        <v>168</v>
      </c>
      <c r="C63" t="s">
        <v>3129</v>
      </c>
      <c r="D63" s="9">
        <v>45177</v>
      </c>
      <c r="E63" s="9">
        <v>45542</v>
      </c>
      <c r="F63" t="s">
        <v>3014</v>
      </c>
      <c r="G63" t="s">
        <v>120</v>
      </c>
    </row>
    <row r="64" spans="1:7" x14ac:dyDescent="0.2">
      <c r="A64" t="s">
        <v>3079</v>
      </c>
      <c r="B64" t="s">
        <v>138</v>
      </c>
      <c r="C64" t="s">
        <v>3019</v>
      </c>
      <c r="D64" s="9">
        <v>45432</v>
      </c>
      <c r="E64" s="9">
        <v>45797</v>
      </c>
      <c r="F64" t="s">
        <v>3014</v>
      </c>
      <c r="G64" t="s">
        <v>10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zoomScale="270" workbookViewId="0">
      <selection activeCell="C35" sqref="C35"/>
    </sheetView>
  </sheetViews>
  <sheetFormatPr baseColWidth="10" defaultColWidth="8.83203125" defaultRowHeight="15" x14ac:dyDescent="0.2"/>
  <cols>
    <col min="1" max="1" width="7.1640625" bestFit="1" customWidth="1"/>
    <col min="2" max="2" width="8.5" bestFit="1" customWidth="1"/>
    <col min="3" max="3" width="21.1640625" bestFit="1" customWidth="1"/>
    <col min="4" max="4" width="9.33203125" bestFit="1" customWidth="1"/>
    <col min="5" max="5" width="14.5" bestFit="1" customWidth="1"/>
    <col min="6" max="6" width="17.1640625" bestFit="1" customWidth="1"/>
    <col min="7" max="7" width="10.5" bestFit="1" customWidth="1"/>
  </cols>
  <sheetData>
    <row r="1" spans="1:7" x14ac:dyDescent="0.2">
      <c r="A1" s="12" t="s">
        <v>3080</v>
      </c>
      <c r="B1" s="12" t="s">
        <v>170</v>
      </c>
      <c r="C1" s="12" t="s">
        <v>3081</v>
      </c>
      <c r="D1" s="12" t="s">
        <v>3082</v>
      </c>
      <c r="E1" s="13" t="s">
        <v>3083</v>
      </c>
      <c r="F1" s="12" t="s">
        <v>3084</v>
      </c>
      <c r="G1" s="12" t="s">
        <v>3085</v>
      </c>
    </row>
    <row r="2" spans="1:7" x14ac:dyDescent="0.2">
      <c r="A2" t="s">
        <v>3086</v>
      </c>
      <c r="B2" t="s">
        <v>868</v>
      </c>
      <c r="C2" t="s">
        <v>3087</v>
      </c>
      <c r="D2" t="s">
        <v>2918</v>
      </c>
      <c r="E2" s="9">
        <v>46050</v>
      </c>
      <c r="F2" t="s">
        <v>3088</v>
      </c>
      <c r="G2" t="s">
        <v>944</v>
      </c>
    </row>
    <row r="3" spans="1:7" x14ac:dyDescent="0.2">
      <c r="A3" t="s">
        <v>3089</v>
      </c>
      <c r="B3" t="s">
        <v>883</v>
      </c>
      <c r="C3" t="s">
        <v>3090</v>
      </c>
      <c r="D3" t="s">
        <v>2918</v>
      </c>
      <c r="E3" s="9">
        <v>46073</v>
      </c>
      <c r="F3" t="s">
        <v>3091</v>
      </c>
      <c r="G3" t="s">
        <v>2908</v>
      </c>
    </row>
    <row r="4" spans="1:7" x14ac:dyDescent="0.2">
      <c r="A4" t="s">
        <v>3092</v>
      </c>
      <c r="B4" t="s">
        <v>188</v>
      </c>
      <c r="C4" t="s">
        <v>3090</v>
      </c>
      <c r="D4" t="s">
        <v>2904</v>
      </c>
      <c r="E4" s="9">
        <v>45971</v>
      </c>
      <c r="F4" t="s">
        <v>3091</v>
      </c>
      <c r="G4" t="s">
        <v>944</v>
      </c>
    </row>
    <row r="5" spans="1:7" x14ac:dyDescent="0.2">
      <c r="A5" t="s">
        <v>3093</v>
      </c>
      <c r="B5" t="s">
        <v>576</v>
      </c>
      <c r="C5" t="s">
        <v>3130</v>
      </c>
      <c r="D5" t="s">
        <v>2904</v>
      </c>
      <c r="E5" s="9">
        <v>45953</v>
      </c>
      <c r="F5" t="s">
        <v>3088</v>
      </c>
      <c r="G5" t="s">
        <v>944</v>
      </c>
    </row>
    <row r="6" spans="1:7" x14ac:dyDescent="0.2">
      <c r="A6" t="s">
        <v>3094</v>
      </c>
      <c r="B6" t="s">
        <v>590</v>
      </c>
      <c r="C6" t="s">
        <v>3130</v>
      </c>
      <c r="D6" t="s">
        <v>2901</v>
      </c>
      <c r="E6" s="9">
        <v>46152</v>
      </c>
      <c r="F6" t="s">
        <v>3091</v>
      </c>
    </row>
    <row r="7" spans="1:7" x14ac:dyDescent="0.2">
      <c r="A7" t="s">
        <v>3095</v>
      </c>
      <c r="B7" s="19" t="s">
        <v>3096</v>
      </c>
      <c r="C7" t="s">
        <v>3087</v>
      </c>
      <c r="D7" t="s">
        <v>2904</v>
      </c>
      <c r="E7" s="9">
        <v>45914</v>
      </c>
      <c r="F7" t="s">
        <v>3088</v>
      </c>
      <c r="G7" t="s">
        <v>944</v>
      </c>
    </row>
    <row r="8" spans="1:7" x14ac:dyDescent="0.2">
      <c r="A8" t="s">
        <v>3097</v>
      </c>
      <c r="B8" t="s">
        <v>576</v>
      </c>
      <c r="C8" t="s">
        <v>3090</v>
      </c>
      <c r="D8" t="s">
        <v>2904</v>
      </c>
      <c r="E8" s="9">
        <v>46007</v>
      </c>
      <c r="G8" t="s">
        <v>2908</v>
      </c>
    </row>
    <row r="9" spans="1:7" x14ac:dyDescent="0.2">
      <c r="A9" t="s">
        <v>3098</v>
      </c>
      <c r="B9" t="s">
        <v>629</v>
      </c>
      <c r="C9" t="s">
        <v>3099</v>
      </c>
      <c r="D9" t="s">
        <v>2918</v>
      </c>
      <c r="E9" s="9">
        <v>45981</v>
      </c>
      <c r="G9" t="s">
        <v>944</v>
      </c>
    </row>
    <row r="10" spans="1:7" x14ac:dyDescent="0.2">
      <c r="A10" t="s">
        <v>3100</v>
      </c>
      <c r="B10" t="s">
        <v>261</v>
      </c>
      <c r="C10" t="s">
        <v>3090</v>
      </c>
      <c r="D10" t="s">
        <v>2918</v>
      </c>
      <c r="E10" s="9">
        <v>46077</v>
      </c>
      <c r="F10" t="s">
        <v>3088</v>
      </c>
      <c r="G10" t="s">
        <v>944</v>
      </c>
    </row>
    <row r="11" spans="1:7" x14ac:dyDescent="0.2">
      <c r="A11" t="s">
        <v>3101</v>
      </c>
      <c r="B11" t="s">
        <v>595</v>
      </c>
      <c r="C11" t="s">
        <v>3090</v>
      </c>
      <c r="D11" t="s">
        <v>2918</v>
      </c>
      <c r="E11" s="9">
        <v>46104</v>
      </c>
      <c r="F11" t="s">
        <v>3088</v>
      </c>
      <c r="G11" t="s">
        <v>2912</v>
      </c>
    </row>
    <row r="12" spans="1:7" x14ac:dyDescent="0.2">
      <c r="A12" t="s">
        <v>3102</v>
      </c>
      <c r="B12" t="s">
        <v>857</v>
      </c>
      <c r="C12" t="s">
        <v>3107</v>
      </c>
      <c r="D12" t="s">
        <v>2918</v>
      </c>
      <c r="E12" s="9">
        <v>45961</v>
      </c>
      <c r="F12" t="s">
        <v>3103</v>
      </c>
    </row>
    <row r="13" spans="1:7" x14ac:dyDescent="0.2">
      <c r="A13" t="s">
        <v>3104</v>
      </c>
      <c r="B13" t="s">
        <v>238</v>
      </c>
      <c r="C13" t="s">
        <v>3090</v>
      </c>
      <c r="D13" t="s">
        <v>2897</v>
      </c>
      <c r="E13" s="9">
        <v>45824</v>
      </c>
      <c r="G13" t="s">
        <v>2908</v>
      </c>
    </row>
    <row r="14" spans="1:7" x14ac:dyDescent="0.2">
      <c r="A14" t="s">
        <v>3105</v>
      </c>
      <c r="B14" t="s">
        <v>766</v>
      </c>
      <c r="C14" t="s">
        <v>3090</v>
      </c>
      <c r="D14" t="s">
        <v>2918</v>
      </c>
      <c r="E14" s="9">
        <v>45765</v>
      </c>
      <c r="F14" t="s">
        <v>3103</v>
      </c>
      <c r="G14" t="s">
        <v>2912</v>
      </c>
    </row>
    <row r="15" spans="1:7" x14ac:dyDescent="0.2">
      <c r="A15" t="s">
        <v>3106</v>
      </c>
      <c r="B15" t="s">
        <v>220</v>
      </c>
      <c r="C15" t="s">
        <v>3107</v>
      </c>
      <c r="D15" t="s">
        <v>2918</v>
      </c>
      <c r="E15" s="9">
        <v>45977</v>
      </c>
      <c r="F15" t="s">
        <v>3103</v>
      </c>
      <c r="G15" t="s">
        <v>2908</v>
      </c>
    </row>
    <row r="16" spans="1:7" x14ac:dyDescent="0.2">
      <c r="A16" t="s">
        <v>3108</v>
      </c>
      <c r="B16" t="s">
        <v>455</v>
      </c>
      <c r="C16" s="14" t="s">
        <v>3130</v>
      </c>
      <c r="D16" t="s">
        <v>2904</v>
      </c>
      <c r="E16" s="9">
        <v>45723</v>
      </c>
      <c r="F16" t="s">
        <v>3091</v>
      </c>
      <c r="G16" t="s">
        <v>944</v>
      </c>
    </row>
    <row r="17" spans="1:7" x14ac:dyDescent="0.2">
      <c r="A17" t="s">
        <v>3109</v>
      </c>
      <c r="B17" t="s">
        <v>629</v>
      </c>
      <c r="C17" t="s">
        <v>3099</v>
      </c>
      <c r="D17" t="s">
        <v>2918</v>
      </c>
      <c r="E17" s="9">
        <v>45887</v>
      </c>
      <c r="F17" t="s">
        <v>3103</v>
      </c>
      <c r="G17" t="s">
        <v>2908</v>
      </c>
    </row>
    <row r="18" spans="1:7" x14ac:dyDescent="0.2">
      <c r="A18" t="s">
        <v>3110</v>
      </c>
      <c r="B18" t="s">
        <v>379</v>
      </c>
      <c r="C18" t="s">
        <v>3087</v>
      </c>
      <c r="D18" t="s">
        <v>2904</v>
      </c>
      <c r="E18" s="9">
        <v>45817</v>
      </c>
      <c r="G18" t="s">
        <v>944</v>
      </c>
    </row>
    <row r="19" spans="1:7" x14ac:dyDescent="0.2">
      <c r="A19" t="s">
        <v>3111</v>
      </c>
      <c r="B19" t="s">
        <v>616</v>
      </c>
      <c r="C19" t="s">
        <v>3107</v>
      </c>
      <c r="D19" t="s">
        <v>2904</v>
      </c>
      <c r="E19" s="9">
        <v>46036</v>
      </c>
      <c r="G19" t="s">
        <v>2908</v>
      </c>
    </row>
    <row r="20" spans="1:7" x14ac:dyDescent="0.2">
      <c r="A20" t="s">
        <v>3112</v>
      </c>
      <c r="B20" t="s">
        <v>380</v>
      </c>
      <c r="C20" t="s">
        <v>3099</v>
      </c>
      <c r="D20" t="s">
        <v>2904</v>
      </c>
      <c r="E20" s="9">
        <v>45854</v>
      </c>
      <c r="F20" t="s">
        <v>3113</v>
      </c>
      <c r="G20" t="s">
        <v>944</v>
      </c>
    </row>
    <row r="21" spans="1:7" x14ac:dyDescent="0.2">
      <c r="A21" t="s">
        <v>3114</v>
      </c>
      <c r="B21" t="s">
        <v>613</v>
      </c>
      <c r="C21" t="s">
        <v>3107</v>
      </c>
      <c r="D21" t="s">
        <v>2918</v>
      </c>
      <c r="E21" s="9">
        <v>45841</v>
      </c>
      <c r="F21" t="s">
        <v>3088</v>
      </c>
      <c r="G21" t="s">
        <v>944</v>
      </c>
    </row>
    <row r="22" spans="1:7" x14ac:dyDescent="0.2">
      <c r="A22" t="s">
        <v>3115</v>
      </c>
      <c r="B22" t="s">
        <v>244</v>
      </c>
      <c r="C22" t="s">
        <v>3099</v>
      </c>
      <c r="D22" t="s">
        <v>2901</v>
      </c>
      <c r="E22" s="9">
        <v>45737</v>
      </c>
      <c r="F22" t="s">
        <v>3116</v>
      </c>
      <c r="G22" t="s">
        <v>2908</v>
      </c>
    </row>
    <row r="23" spans="1:7" x14ac:dyDescent="0.2">
      <c r="A23" t="s">
        <v>3117</v>
      </c>
      <c r="B23" t="s">
        <v>590</v>
      </c>
      <c r="C23" t="s">
        <v>3130</v>
      </c>
      <c r="D23" t="s">
        <v>2904</v>
      </c>
      <c r="E23" s="9">
        <v>46005</v>
      </c>
      <c r="F23" t="s">
        <v>3113</v>
      </c>
      <c r="G23" t="s">
        <v>2908</v>
      </c>
    </row>
    <row r="24" spans="1:7" x14ac:dyDescent="0.2">
      <c r="A24" t="s">
        <v>3118</v>
      </c>
      <c r="B24" t="s">
        <v>406</v>
      </c>
      <c r="C24" t="s">
        <v>3107</v>
      </c>
      <c r="D24" t="s">
        <v>2918</v>
      </c>
      <c r="E24" s="9">
        <v>46005</v>
      </c>
      <c r="F24" t="s">
        <v>3116</v>
      </c>
    </row>
    <row r="25" spans="1:7" x14ac:dyDescent="0.2">
      <c r="A25" t="s">
        <v>3119</v>
      </c>
      <c r="B25" t="s">
        <v>392</v>
      </c>
      <c r="C25" t="s">
        <v>3090</v>
      </c>
      <c r="D25" t="s">
        <v>2897</v>
      </c>
      <c r="E25" s="9">
        <v>46091</v>
      </c>
      <c r="F25" t="s">
        <v>3113</v>
      </c>
      <c r="G25" t="s">
        <v>2912</v>
      </c>
    </row>
    <row r="26" spans="1:7" x14ac:dyDescent="0.2">
      <c r="A26" t="s">
        <v>3120</v>
      </c>
      <c r="B26" t="s">
        <v>736</v>
      </c>
      <c r="C26" t="s">
        <v>3087</v>
      </c>
      <c r="D26" t="s">
        <v>2901</v>
      </c>
      <c r="E26" s="9">
        <v>46180</v>
      </c>
      <c r="F26" t="s">
        <v>3091</v>
      </c>
      <c r="G26" t="s">
        <v>944</v>
      </c>
    </row>
    <row r="27" spans="1:7" x14ac:dyDescent="0.2">
      <c r="A27" t="s">
        <v>3121</v>
      </c>
      <c r="B27" t="s">
        <v>220</v>
      </c>
      <c r="C27" t="s">
        <v>3130</v>
      </c>
      <c r="D27" t="s">
        <v>2918</v>
      </c>
      <c r="E27" s="9">
        <v>45868</v>
      </c>
      <c r="F27" t="s">
        <v>3088</v>
      </c>
      <c r="G27" t="s">
        <v>2908</v>
      </c>
    </row>
    <row r="28" spans="1:7" x14ac:dyDescent="0.2">
      <c r="A28" t="s">
        <v>3122</v>
      </c>
      <c r="B28" t="s">
        <v>188</v>
      </c>
      <c r="C28" t="s">
        <v>3130</v>
      </c>
      <c r="D28" t="s">
        <v>2904</v>
      </c>
      <c r="E28" s="9">
        <v>45817</v>
      </c>
      <c r="F28" t="s">
        <v>3091</v>
      </c>
      <c r="G28" t="s">
        <v>2912</v>
      </c>
    </row>
    <row r="29" spans="1:7" x14ac:dyDescent="0.2">
      <c r="A29" t="s">
        <v>3123</v>
      </c>
      <c r="B29" t="s">
        <v>364</v>
      </c>
      <c r="C29" t="s">
        <v>3087</v>
      </c>
      <c r="D29" t="s">
        <v>2904</v>
      </c>
      <c r="E29" s="9">
        <v>46078</v>
      </c>
      <c r="F29" t="s">
        <v>3113</v>
      </c>
      <c r="G29" t="s">
        <v>944</v>
      </c>
    </row>
    <row r="30" spans="1:7" x14ac:dyDescent="0.2">
      <c r="A30" t="s">
        <v>3124</v>
      </c>
      <c r="B30" t="s">
        <v>201</v>
      </c>
      <c r="C30" t="s">
        <v>3107</v>
      </c>
      <c r="D30" t="s">
        <v>2918</v>
      </c>
      <c r="E30" s="9">
        <v>45964</v>
      </c>
      <c r="F30" t="s">
        <v>3116</v>
      </c>
      <c r="G30" t="s">
        <v>944</v>
      </c>
    </row>
    <row r="31" spans="1:7" x14ac:dyDescent="0.2">
      <c r="A31" t="s">
        <v>3125</v>
      </c>
      <c r="B31" t="s">
        <v>201</v>
      </c>
      <c r="C31" t="s">
        <v>3099</v>
      </c>
      <c r="D31" t="s">
        <v>2904</v>
      </c>
      <c r="E31" s="9">
        <v>46070</v>
      </c>
      <c r="F31" t="s">
        <v>3088</v>
      </c>
      <c r="G31" t="s">
        <v>2908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7670-317A-1E48-A34F-57846C77EBC3}">
  <dimension ref="A1:D33"/>
  <sheetViews>
    <sheetView zoomScale="142" workbookViewId="0">
      <selection activeCell="A2" sqref="A2"/>
    </sheetView>
  </sheetViews>
  <sheetFormatPr baseColWidth="10" defaultRowHeight="15" x14ac:dyDescent="0.2"/>
  <cols>
    <col min="1" max="1" width="30" bestFit="1" customWidth="1"/>
    <col min="2" max="2" width="118.83203125" bestFit="1" customWidth="1"/>
    <col min="3" max="3" width="79.1640625" bestFit="1" customWidth="1"/>
    <col min="4" max="4" width="35.83203125" bestFit="1" customWidth="1"/>
  </cols>
  <sheetData>
    <row r="1" spans="1:4" ht="19" x14ac:dyDescent="0.25">
      <c r="A1" s="21" t="s">
        <v>3141</v>
      </c>
    </row>
    <row r="2" spans="1:4" x14ac:dyDescent="0.2">
      <c r="A2" t="s">
        <v>3205</v>
      </c>
    </row>
    <row r="3" spans="1:4" x14ac:dyDescent="0.2">
      <c r="A3" s="20" t="s">
        <v>3142</v>
      </c>
    </row>
    <row r="4" spans="1:4" ht="16" x14ac:dyDescent="0.2">
      <c r="A4" s="22" t="s">
        <v>3143</v>
      </c>
      <c r="B4" s="22" t="s">
        <v>3144</v>
      </c>
      <c r="C4" s="23" t="s">
        <v>3145</v>
      </c>
      <c r="D4" s="22" t="s">
        <v>3146</v>
      </c>
    </row>
    <row r="5" spans="1:4" ht="16" x14ac:dyDescent="0.2">
      <c r="A5" t="s">
        <v>3147</v>
      </c>
      <c r="B5" t="s">
        <v>3148</v>
      </c>
      <c r="C5" s="24" t="s">
        <v>3149</v>
      </c>
      <c r="D5">
        <v>184</v>
      </c>
    </row>
    <row r="6" spans="1:4" ht="16" x14ac:dyDescent="0.2">
      <c r="A6" t="s">
        <v>3147</v>
      </c>
      <c r="B6" t="s">
        <v>3148</v>
      </c>
      <c r="C6" s="24" t="s">
        <v>3150</v>
      </c>
      <c r="D6">
        <v>47</v>
      </c>
    </row>
    <row r="7" spans="1:4" ht="16" x14ac:dyDescent="0.2">
      <c r="A7" t="s">
        <v>3147</v>
      </c>
      <c r="B7" t="s">
        <v>3148</v>
      </c>
      <c r="C7" s="24" t="s">
        <v>3151</v>
      </c>
      <c r="D7" t="s">
        <v>3152</v>
      </c>
    </row>
    <row r="8" spans="1:4" ht="16" x14ac:dyDescent="0.2">
      <c r="A8" t="s">
        <v>3147</v>
      </c>
      <c r="B8" t="s">
        <v>3148</v>
      </c>
      <c r="C8" s="24" t="s">
        <v>3153</v>
      </c>
      <c r="D8" t="s">
        <v>3154</v>
      </c>
    </row>
    <row r="9" spans="1:4" ht="16" x14ac:dyDescent="0.2">
      <c r="A9" t="s">
        <v>3147</v>
      </c>
      <c r="B9" t="s">
        <v>3155</v>
      </c>
      <c r="C9" s="24" t="s">
        <v>3156</v>
      </c>
      <c r="D9" t="s">
        <v>3157</v>
      </c>
    </row>
    <row r="10" spans="1:4" ht="16" x14ac:dyDescent="0.2">
      <c r="A10" t="s">
        <v>3147</v>
      </c>
      <c r="B10" t="s">
        <v>3158</v>
      </c>
      <c r="C10" s="24" t="s">
        <v>3159</v>
      </c>
      <c r="D10">
        <v>2</v>
      </c>
    </row>
    <row r="11" spans="1:4" ht="16" x14ac:dyDescent="0.2">
      <c r="A11" t="s">
        <v>3147</v>
      </c>
      <c r="B11" t="s">
        <v>3148</v>
      </c>
      <c r="C11" s="24" t="s">
        <v>3160</v>
      </c>
      <c r="D11">
        <v>111</v>
      </c>
    </row>
    <row r="12" spans="1:4" ht="16" x14ac:dyDescent="0.2">
      <c r="A12" t="s">
        <v>3147</v>
      </c>
      <c r="B12" t="s">
        <v>3148</v>
      </c>
      <c r="C12" s="24" t="s">
        <v>3161</v>
      </c>
      <c r="D12">
        <v>1</v>
      </c>
    </row>
    <row r="13" spans="1:4" ht="16" x14ac:dyDescent="0.2">
      <c r="A13" t="s">
        <v>3147</v>
      </c>
      <c r="B13" t="s">
        <v>3162</v>
      </c>
      <c r="C13" s="24" t="s">
        <v>3163</v>
      </c>
      <c r="D13">
        <v>11</v>
      </c>
    </row>
    <row r="14" spans="1:4" ht="32" x14ac:dyDescent="0.2">
      <c r="A14" t="s">
        <v>3147</v>
      </c>
      <c r="B14" t="s">
        <v>3164</v>
      </c>
      <c r="C14" s="25" t="s">
        <v>3165</v>
      </c>
      <c r="D14">
        <v>25</v>
      </c>
    </row>
    <row r="15" spans="1:4" ht="16" x14ac:dyDescent="0.2">
      <c r="A15" t="s">
        <v>3147</v>
      </c>
      <c r="B15" t="s">
        <v>3158</v>
      </c>
      <c r="C15" s="25" t="s">
        <v>3166</v>
      </c>
      <c r="D15">
        <v>3</v>
      </c>
    </row>
    <row r="16" spans="1:4" ht="16" x14ac:dyDescent="0.2">
      <c r="A16" t="s">
        <v>3147</v>
      </c>
      <c r="B16" t="s">
        <v>3167</v>
      </c>
      <c r="C16" s="24" t="s">
        <v>3168</v>
      </c>
      <c r="D16">
        <v>4</v>
      </c>
    </row>
    <row r="17" spans="1:4" ht="16" x14ac:dyDescent="0.2">
      <c r="A17" t="s">
        <v>3147</v>
      </c>
      <c r="B17" t="s">
        <v>3155</v>
      </c>
      <c r="C17" s="24" t="s">
        <v>3169</v>
      </c>
      <c r="D17">
        <v>5</v>
      </c>
    </row>
    <row r="18" spans="1:4" ht="48" x14ac:dyDescent="0.2">
      <c r="A18" t="s">
        <v>3199</v>
      </c>
      <c r="B18" t="s">
        <v>3200</v>
      </c>
      <c r="C18" s="24" t="s">
        <v>3201</v>
      </c>
      <c r="D18" t="s">
        <v>3202</v>
      </c>
    </row>
    <row r="19" spans="1:4" x14ac:dyDescent="0.2">
      <c r="C19" s="24"/>
    </row>
    <row r="20" spans="1:4" x14ac:dyDescent="0.2">
      <c r="A20" s="20" t="s">
        <v>3170</v>
      </c>
      <c r="C20" s="24"/>
    </row>
    <row r="21" spans="1:4" ht="16" x14ac:dyDescent="0.2">
      <c r="A21" s="22" t="s">
        <v>3144</v>
      </c>
      <c r="B21" s="22" t="s">
        <v>3171</v>
      </c>
      <c r="C21" s="23" t="s">
        <v>3172</v>
      </c>
      <c r="D21" s="22" t="s">
        <v>3173</v>
      </c>
    </row>
    <row r="22" spans="1:4" ht="16" x14ac:dyDescent="0.2">
      <c r="A22" t="s">
        <v>3148</v>
      </c>
      <c r="B22" t="s">
        <v>3196</v>
      </c>
      <c r="C22" s="24" t="s">
        <v>3197</v>
      </c>
      <c r="D22" t="s">
        <v>3198</v>
      </c>
    </row>
    <row r="23" spans="1:4" ht="16" x14ac:dyDescent="0.2">
      <c r="A23" t="s">
        <v>3148</v>
      </c>
      <c r="B23" t="s">
        <v>3174</v>
      </c>
      <c r="C23" s="24" t="s">
        <v>3175</v>
      </c>
      <c r="D23" t="s">
        <v>2908</v>
      </c>
    </row>
    <row r="24" spans="1:4" ht="16" x14ac:dyDescent="0.2">
      <c r="A24" t="s">
        <v>3148</v>
      </c>
      <c r="B24" t="s">
        <v>3176</v>
      </c>
      <c r="C24" s="24" t="s">
        <v>3177</v>
      </c>
      <c r="D24" t="s">
        <v>2908</v>
      </c>
    </row>
    <row r="25" spans="1:4" ht="16" x14ac:dyDescent="0.2">
      <c r="A25" t="s">
        <v>3148</v>
      </c>
      <c r="B25" t="s">
        <v>3203</v>
      </c>
      <c r="C25" s="24" t="s">
        <v>3178</v>
      </c>
      <c r="D25" t="s">
        <v>2908</v>
      </c>
    </row>
    <row r="26" spans="1:4" ht="16" x14ac:dyDescent="0.2">
      <c r="A26" t="s">
        <v>3148</v>
      </c>
      <c r="B26" t="s">
        <v>3179</v>
      </c>
      <c r="C26" s="24" t="s">
        <v>3180</v>
      </c>
      <c r="D26" t="s">
        <v>2908</v>
      </c>
    </row>
    <row r="27" spans="1:4" ht="16" x14ac:dyDescent="0.2">
      <c r="A27" t="s">
        <v>3155</v>
      </c>
      <c r="B27" t="s">
        <v>3181</v>
      </c>
      <c r="C27" s="24" t="s">
        <v>3182</v>
      </c>
      <c r="D27" t="s">
        <v>2908</v>
      </c>
    </row>
    <row r="28" spans="1:4" ht="16" x14ac:dyDescent="0.2">
      <c r="A28" t="s">
        <v>3155</v>
      </c>
      <c r="B28" t="s">
        <v>3183</v>
      </c>
      <c r="C28" s="24" t="s">
        <v>3184</v>
      </c>
      <c r="D28" t="s">
        <v>2908</v>
      </c>
    </row>
    <row r="29" spans="1:4" ht="16" x14ac:dyDescent="0.2">
      <c r="A29" t="s">
        <v>3162</v>
      </c>
      <c r="B29" t="s">
        <v>3185</v>
      </c>
      <c r="C29" s="24" t="s">
        <v>3186</v>
      </c>
      <c r="D29" t="s">
        <v>2908</v>
      </c>
    </row>
    <row r="30" spans="1:4" ht="16" x14ac:dyDescent="0.2">
      <c r="A30" t="s">
        <v>3158</v>
      </c>
      <c r="B30" t="s">
        <v>3187</v>
      </c>
      <c r="C30" s="24" t="s">
        <v>3188</v>
      </c>
      <c r="D30" t="s">
        <v>2908</v>
      </c>
    </row>
    <row r="31" spans="1:4" ht="16" x14ac:dyDescent="0.2">
      <c r="A31" t="s">
        <v>3158</v>
      </c>
      <c r="B31" t="s">
        <v>3194</v>
      </c>
      <c r="C31" s="24" t="s">
        <v>3189</v>
      </c>
      <c r="D31" t="s">
        <v>3195</v>
      </c>
    </row>
    <row r="32" spans="1:4" ht="16" x14ac:dyDescent="0.2">
      <c r="A32" t="s">
        <v>3167</v>
      </c>
      <c r="B32" t="s">
        <v>3190</v>
      </c>
      <c r="C32" s="24" t="s">
        <v>3184</v>
      </c>
      <c r="D32" t="s">
        <v>2908</v>
      </c>
    </row>
    <row r="33" spans="1:4" ht="16" x14ac:dyDescent="0.2">
      <c r="A33" t="s">
        <v>3191</v>
      </c>
      <c r="B33" t="s">
        <v>3192</v>
      </c>
      <c r="C33" s="24" t="s">
        <v>3193</v>
      </c>
      <c r="D33" t="s">
        <v>2908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Products</vt:lpstr>
      <vt:lpstr>Suppliers</vt:lpstr>
      <vt:lpstr>Batches</vt:lpstr>
      <vt:lpstr>Customers</vt:lpstr>
      <vt:lpstr>Orders</vt:lpstr>
      <vt:lpstr>Complaints</vt:lpstr>
      <vt:lpstr>Supplier_Documents</vt:lpstr>
      <vt:lpstr>Recall_Risk</vt:lpstr>
      <vt:lpstr>Data_Quality_Log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Vyom Patel</cp:lastModifiedBy>
  <cp:revision/>
  <dcterms:created xsi:type="dcterms:W3CDTF">2026-07-11T01:30:25Z</dcterms:created>
  <dcterms:modified xsi:type="dcterms:W3CDTF">2026-07-22T09:47:55Z</dcterms:modified>
  <cp:category/>
  <cp:contentStatus/>
</cp:coreProperties>
</file>